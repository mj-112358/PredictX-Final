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kb/Desktop/Inflammation et CSTN/"/>
    </mc:Choice>
  </mc:AlternateContent>
  <xr:revisionPtr revIDLastSave="0" documentId="13_ncr:1_{6F858424-3161-E743-9F5C-9B2BD9621154}" xr6:coauthVersionLast="47" xr6:coauthVersionMax="47" xr10:uidLastSave="{00000000-0000-0000-0000-000000000000}"/>
  <bookViews>
    <workbookView xWindow="180" yWindow="500" windowWidth="28800" windowHeight="15320" activeTab="2" xr2:uid="{89A31804-7A44-1044-8037-E7BCF78BBC09}"/>
  </bookViews>
  <sheets>
    <sheet name="TNBC" sheetId="1" r:id="rId1"/>
    <sheet name="HDBC" sheetId="2" r:id="rId2"/>
    <sheet name="Healthy controls" sheetId="3" r:id="rId3"/>
  </sheets>
  <definedNames>
    <definedName name="_xlnm._FilterDatabase" localSheetId="1" hidden="1">HDBC!$A$1:$BN$41</definedName>
    <definedName name="_xlnm._FilterDatabase" localSheetId="2" hidden="1">'Healthy controls'!$A$1:$BD$41</definedName>
    <definedName name="_xlnm._FilterDatabase" localSheetId="0" hidden="1">TNBC!$A$1:$BJ$41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3" i="2" l="1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2" i="2"/>
  <c r="BJ3" i="2"/>
  <c r="BJ4" i="2"/>
  <c r="BJ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BJ40" i="2"/>
  <c r="BJ41" i="2"/>
  <c r="BJ2" i="2"/>
  <c r="BG3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2" i="2"/>
  <c r="BC3" i="2"/>
  <c r="BC4" i="2"/>
  <c r="BC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2" i="2"/>
  <c r="BB3" i="2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2" i="2"/>
  <c r="AU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2" i="2"/>
  <c r="AR3" i="2"/>
  <c r="AR4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2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2" i="2"/>
  <c r="BA3" i="3"/>
  <c r="BA4" i="3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BA35" i="3"/>
  <c r="BA36" i="3"/>
  <c r="BA37" i="3"/>
  <c r="BA38" i="3"/>
  <c r="BA39" i="3"/>
  <c r="BA40" i="3"/>
  <c r="BA41" i="3"/>
  <c r="BA2" i="3"/>
  <c r="AZ3" i="3"/>
  <c r="AZ4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2" i="3"/>
  <c r="AW3" i="3"/>
  <c r="AW4" i="3"/>
  <c r="AW5" i="3"/>
  <c r="AW6" i="3"/>
  <c r="AW7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W35" i="3"/>
  <c r="AW36" i="3"/>
  <c r="AW37" i="3"/>
  <c r="AW38" i="3"/>
  <c r="AW39" i="3"/>
  <c r="AW40" i="3"/>
  <c r="AW41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2" i="3"/>
  <c r="AA35" i="3"/>
  <c r="AA30" i="3"/>
  <c r="AA29" i="3"/>
  <c r="AA28" i="3"/>
  <c r="AA24" i="3"/>
  <c r="AA22" i="3"/>
  <c r="AA19" i="3"/>
  <c r="AA13" i="3"/>
  <c r="AA8" i="3"/>
  <c r="AA7" i="3"/>
  <c r="AA2" i="3"/>
  <c r="AA41" i="3"/>
  <c r="AA40" i="3"/>
  <c r="AA39" i="3"/>
  <c r="AA38" i="3"/>
  <c r="AA37" i="3"/>
  <c r="AA36" i="3"/>
  <c r="AA34" i="3"/>
  <c r="AA33" i="3"/>
  <c r="AA32" i="3"/>
  <c r="AA31" i="3"/>
  <c r="AA27" i="3"/>
  <c r="AA26" i="3"/>
  <c r="AA25" i="3"/>
  <c r="AA23" i="3"/>
  <c r="AA21" i="3"/>
  <c r="AA20" i="3"/>
  <c r="AA18" i="3"/>
  <c r="AA17" i="3"/>
  <c r="AA16" i="3"/>
  <c r="AA15" i="3"/>
  <c r="AA14" i="3"/>
  <c r="AA12" i="3"/>
  <c r="AA11" i="3"/>
  <c r="AA10" i="3"/>
  <c r="AA9" i="3"/>
  <c r="AA6" i="3"/>
  <c r="AA5" i="3"/>
  <c r="AA4" i="3"/>
  <c r="AA3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2" i="3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2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2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2" i="1"/>
  <c r="AN41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2" i="1"/>
  <c r="BD3" i="3"/>
  <c r="BD4" i="3"/>
  <c r="BD5" i="3"/>
  <c r="BD6" i="3"/>
  <c r="BD7" i="3"/>
  <c r="BD8" i="3"/>
  <c r="BD9" i="3"/>
  <c r="BD10" i="3"/>
  <c r="BD11" i="3"/>
  <c r="BD12" i="3"/>
  <c r="BD13" i="3"/>
  <c r="BD14" i="3"/>
  <c r="BD15" i="3"/>
  <c r="BD16" i="3"/>
  <c r="BD17" i="3"/>
  <c r="BD18" i="3"/>
  <c r="BD19" i="3"/>
  <c r="BD20" i="3"/>
  <c r="BD21" i="3"/>
  <c r="BD22" i="3"/>
  <c r="BD23" i="3"/>
  <c r="BD24" i="3"/>
  <c r="BD25" i="3"/>
  <c r="BD26" i="3"/>
  <c r="BD27" i="3"/>
  <c r="BD28" i="3"/>
  <c r="BD29" i="3"/>
  <c r="BD30" i="3"/>
  <c r="BD31" i="3"/>
  <c r="BD32" i="3"/>
  <c r="BD33" i="3"/>
  <c r="BD34" i="3"/>
  <c r="BD35" i="3"/>
  <c r="BD36" i="3"/>
  <c r="BD37" i="3"/>
  <c r="BD38" i="3"/>
  <c r="BD39" i="3"/>
  <c r="BD40" i="3"/>
  <c r="BD41" i="3"/>
  <c r="BD2" i="3"/>
  <c r="BC3" i="3"/>
  <c r="BC4" i="3"/>
  <c r="BC5" i="3"/>
  <c r="BC6" i="3"/>
  <c r="BC7" i="3"/>
  <c r="BC8" i="3"/>
  <c r="BC9" i="3"/>
  <c r="BC10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C35" i="3"/>
  <c r="BC36" i="3"/>
  <c r="BC37" i="3"/>
  <c r="BC38" i="3"/>
  <c r="BC39" i="3"/>
  <c r="BC40" i="3"/>
  <c r="BC41" i="3"/>
  <c r="BC2" i="3"/>
  <c r="BN3" i="2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2" i="2"/>
  <c r="BM3" i="2"/>
  <c r="BM4" i="2"/>
  <c r="BM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2" i="2"/>
  <c r="BJ3" i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2" i="1"/>
  <c r="BI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2" i="1"/>
  <c r="BB3" i="3" l="1"/>
  <c r="BB4" i="3"/>
  <c r="BB5" i="3"/>
  <c r="BB6" i="3"/>
  <c r="BB7" i="3"/>
  <c r="BB8" i="3"/>
  <c r="BB9" i="3"/>
  <c r="BB10" i="3"/>
  <c r="BB11" i="3"/>
  <c r="BB12" i="3"/>
  <c r="BB13" i="3"/>
  <c r="BB14" i="3"/>
  <c r="BB15" i="3"/>
  <c r="BB16" i="3"/>
  <c r="BB17" i="3"/>
  <c r="BB18" i="3"/>
  <c r="BB19" i="3"/>
  <c r="BB20" i="3"/>
  <c r="BB21" i="3"/>
  <c r="BB22" i="3"/>
  <c r="BB23" i="3"/>
  <c r="BB24" i="3"/>
  <c r="BB25" i="3"/>
  <c r="BB26" i="3"/>
  <c r="BB27" i="3"/>
  <c r="BB28" i="3"/>
  <c r="BB29" i="3"/>
  <c r="BB30" i="3"/>
  <c r="BB31" i="3"/>
  <c r="BB32" i="3"/>
  <c r="BB33" i="3"/>
  <c r="BB34" i="3"/>
  <c r="BB35" i="3"/>
  <c r="BB36" i="3"/>
  <c r="BB37" i="3"/>
  <c r="BB38" i="3"/>
  <c r="BB39" i="3"/>
  <c r="BB40" i="3"/>
  <c r="BB41" i="3"/>
  <c r="BB2" i="3"/>
  <c r="BL3" i="2"/>
  <c r="BL4" i="2"/>
  <c r="BL5" i="2"/>
  <c r="BL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2" i="2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" i="1"/>
</calcChain>
</file>

<file path=xl/sharedStrings.xml><?xml version="1.0" encoding="utf-8"?>
<sst xmlns="http://schemas.openxmlformats.org/spreadsheetml/2006/main" count="2670" uniqueCount="253">
  <si>
    <t>Numéro</t>
  </si>
  <si>
    <t xml:space="preserve">Age </t>
  </si>
  <si>
    <t>HTA</t>
  </si>
  <si>
    <t>Stade N</t>
  </si>
  <si>
    <t>Stade M</t>
  </si>
  <si>
    <t>Oui</t>
  </si>
  <si>
    <t>Non</t>
  </si>
  <si>
    <t>SBR II</t>
  </si>
  <si>
    <t>T4</t>
  </si>
  <si>
    <t>N1</t>
  </si>
  <si>
    <t>M1</t>
  </si>
  <si>
    <t>IV</t>
  </si>
  <si>
    <t>SBR I</t>
  </si>
  <si>
    <t>T2</t>
  </si>
  <si>
    <t>M0</t>
  </si>
  <si>
    <t>II</t>
  </si>
  <si>
    <t>T1</t>
  </si>
  <si>
    <t>SBR III</t>
  </si>
  <si>
    <t>N0</t>
  </si>
  <si>
    <t>III</t>
  </si>
  <si>
    <t>N2</t>
  </si>
  <si>
    <t>T3</t>
  </si>
  <si>
    <t>N3</t>
  </si>
  <si>
    <t xml:space="preserve"> SBR III </t>
  </si>
  <si>
    <t>I</t>
  </si>
  <si>
    <t xml:space="preserve">Stade T </t>
  </si>
  <si>
    <t xml:space="preserve">Stade N </t>
  </si>
  <si>
    <t xml:space="preserve">Stade T  </t>
  </si>
  <si>
    <t>Ki67 (%)</t>
  </si>
  <si>
    <t>&lt; 1</t>
  </si>
  <si>
    <t>Ki 67 (%)</t>
  </si>
  <si>
    <t xml:space="preserve">Sous type </t>
  </si>
  <si>
    <t>Luminal A</t>
  </si>
  <si>
    <t>Luminal B</t>
  </si>
  <si>
    <t>RE (%)</t>
  </si>
  <si>
    <t>RP (%)</t>
  </si>
  <si>
    <t>Grade SBR</t>
  </si>
  <si>
    <t>CRP</t>
  </si>
  <si>
    <t>Hb</t>
  </si>
  <si>
    <t>Ht</t>
  </si>
  <si>
    <t>Lymphocytes</t>
  </si>
  <si>
    <t>Lymphocytes (%)</t>
  </si>
  <si>
    <t>Monocytes</t>
  </si>
  <si>
    <t>Monocytes (%)</t>
  </si>
  <si>
    <t>Socioeconomic status</t>
  </si>
  <si>
    <t>Low</t>
  </si>
  <si>
    <t>Middle school</t>
  </si>
  <si>
    <t>Primary</t>
  </si>
  <si>
    <t>No education</t>
  </si>
  <si>
    <t>University</t>
  </si>
  <si>
    <t>Occupation</t>
  </si>
  <si>
    <t>Education level</t>
  </si>
  <si>
    <t>Entrepreneur</t>
  </si>
  <si>
    <t>Student</t>
  </si>
  <si>
    <t>Housemaid</t>
  </si>
  <si>
    <t>Housewife</t>
  </si>
  <si>
    <t>Parity BIS</t>
  </si>
  <si>
    <t>Gravidity</t>
  </si>
  <si>
    <t xml:space="preserve">Parity </t>
  </si>
  <si>
    <t>Multigravida</t>
  </si>
  <si>
    <t>Primigravida</t>
  </si>
  <si>
    <t>Nulligravida</t>
  </si>
  <si>
    <t>Primiparity</t>
  </si>
  <si>
    <t>Multiparity</t>
  </si>
  <si>
    <t>Nulliparity</t>
  </si>
  <si>
    <t xml:space="preserve">Abortion history </t>
  </si>
  <si>
    <t>Breastfeeding status</t>
  </si>
  <si>
    <t>Menopausal status</t>
  </si>
  <si>
    <t>Family history of cancer</t>
  </si>
  <si>
    <t>Contraceptive use</t>
  </si>
  <si>
    <t xml:space="preserve">Alcoohol drinking habit </t>
  </si>
  <si>
    <t>Smoking</t>
  </si>
  <si>
    <t>Diabetes</t>
  </si>
  <si>
    <t>NLR</t>
  </si>
  <si>
    <t>BMI</t>
  </si>
  <si>
    <t>Middle</t>
  </si>
  <si>
    <t>High school</t>
  </si>
  <si>
    <t>Age at menarch</t>
  </si>
  <si>
    <t>Age at first pregnancy</t>
  </si>
  <si>
    <t>Age at menarche</t>
  </si>
  <si>
    <t>Government employee</t>
  </si>
  <si>
    <t>Retired</t>
  </si>
  <si>
    <t>Parity</t>
  </si>
  <si>
    <t>Primipariry</t>
  </si>
  <si>
    <t>Abortion history</t>
  </si>
  <si>
    <t>Contraception use</t>
  </si>
  <si>
    <t>Alcohol drinking habit</t>
  </si>
  <si>
    <t>Sedentary lifestyle</t>
  </si>
  <si>
    <t>Gravidity BIS</t>
  </si>
  <si>
    <t>Healthcare worker</t>
  </si>
  <si>
    <t>Inflammation</t>
  </si>
  <si>
    <t xml:space="preserve">Inflammation </t>
  </si>
  <si>
    <t>MLR</t>
  </si>
  <si>
    <t>PLR</t>
  </si>
  <si>
    <t>RBC</t>
  </si>
  <si>
    <t>MCV</t>
  </si>
  <si>
    <t>MCH</t>
  </si>
  <si>
    <t>MCHC</t>
  </si>
  <si>
    <t>Platelets</t>
  </si>
  <si>
    <t>WBC</t>
  </si>
  <si>
    <t>Neutrophils</t>
  </si>
  <si>
    <t>Neutrophils(%)</t>
  </si>
  <si>
    <t>Eosinophils</t>
  </si>
  <si>
    <t>Eosinophils(%)</t>
  </si>
  <si>
    <t>Basophils</t>
  </si>
  <si>
    <t>Basophils(%)</t>
  </si>
  <si>
    <t>Anemia</t>
  </si>
  <si>
    <t>Thrombocytosis</t>
  </si>
  <si>
    <t>Thrombocytopenia</t>
  </si>
  <si>
    <r>
      <t>Neutrophilia</t>
    </r>
    <r>
      <rPr>
        <sz val="14"/>
        <color theme="1"/>
        <rFont val="Times New Roman"/>
        <family val="1"/>
      </rPr>
      <t xml:space="preserve"> </t>
    </r>
  </si>
  <si>
    <r>
      <t>Neutropenia</t>
    </r>
    <r>
      <rPr>
        <sz val="14"/>
        <color theme="1"/>
        <rFont val="Times New Roman"/>
        <family val="1"/>
      </rPr>
      <t xml:space="preserve"> </t>
    </r>
  </si>
  <si>
    <t>hyperleukocytosis</t>
  </si>
  <si>
    <t xml:space="preserve">Leucopenia </t>
  </si>
  <si>
    <r>
      <t>Lymphopenia</t>
    </r>
    <r>
      <rPr>
        <sz val="14"/>
        <color theme="1"/>
        <rFont val="Times New Roman"/>
        <family val="1"/>
      </rPr>
      <t xml:space="preserve"> </t>
    </r>
  </si>
  <si>
    <t xml:space="preserve"> Lymphocytosis </t>
  </si>
  <si>
    <t>Monocytosis</t>
  </si>
  <si>
    <t xml:space="preserve">Monocytopenia </t>
  </si>
  <si>
    <t>Metastases</t>
  </si>
  <si>
    <t>Clinical stage</t>
  </si>
  <si>
    <t>Neutrophils (%)</t>
  </si>
  <si>
    <t>Eosinophils (%)</t>
  </si>
  <si>
    <t>Basophils (%)</t>
  </si>
  <si>
    <t>Neutrophilia</t>
  </si>
  <si>
    <t xml:space="preserve">Lymphocytosis </t>
  </si>
  <si>
    <t xml:space="preserve">Clinical stage </t>
  </si>
  <si>
    <t>Hyperleukocytosis</t>
  </si>
  <si>
    <t>Leukopenia</t>
  </si>
  <si>
    <t>Lymphocytosis</t>
  </si>
  <si>
    <t xml:space="preserve"> Monocytosis</t>
  </si>
  <si>
    <t>Gestity</t>
  </si>
  <si>
    <t>No</t>
  </si>
  <si>
    <t>Yes</t>
  </si>
  <si>
    <t xml:space="preserve"> Monocytopenia</t>
  </si>
  <si>
    <t>Patient 0002.22</t>
  </si>
  <si>
    <t>Patient 0003.22</t>
  </si>
  <si>
    <t>Patient 0004.22</t>
  </si>
  <si>
    <t>Patient 0005.22</t>
  </si>
  <si>
    <t>Patient 0009.22</t>
  </si>
  <si>
    <t>Patient 0010.22</t>
  </si>
  <si>
    <t>Patient 018.22</t>
  </si>
  <si>
    <t>Patient 021.22</t>
  </si>
  <si>
    <t>Patient 026.23</t>
  </si>
  <si>
    <t>Patient 027.23</t>
  </si>
  <si>
    <t>Patient 029.23</t>
  </si>
  <si>
    <t>Patient 032.23</t>
  </si>
  <si>
    <t>Patient 033.23</t>
  </si>
  <si>
    <t>Patient 034.23</t>
  </si>
  <si>
    <t xml:space="preserve">Patient 035.23 </t>
  </si>
  <si>
    <t>Patient 042.23</t>
  </si>
  <si>
    <t>Patient 049.23</t>
  </si>
  <si>
    <t xml:space="preserve">Patient 053.23 </t>
  </si>
  <si>
    <t>Patient 055.23</t>
  </si>
  <si>
    <t>Patient 059.23</t>
  </si>
  <si>
    <t>Patient 061.23</t>
  </si>
  <si>
    <t>Patient 065.23</t>
  </si>
  <si>
    <t>Patient 067.23</t>
  </si>
  <si>
    <t>Patient 072.23</t>
  </si>
  <si>
    <t>Patient 074.23</t>
  </si>
  <si>
    <t>Patient 080.23</t>
  </si>
  <si>
    <t>Patient 087.23</t>
  </si>
  <si>
    <t>Patient 091.23</t>
  </si>
  <si>
    <t>Patient 092.23</t>
  </si>
  <si>
    <t>Patient 097.23</t>
  </si>
  <si>
    <t>Patient 109.23</t>
  </si>
  <si>
    <t>Patient 111.23</t>
  </si>
  <si>
    <t>Patient 112.23</t>
  </si>
  <si>
    <t>Patient 113.23</t>
  </si>
  <si>
    <t>Patient 120.24</t>
  </si>
  <si>
    <t>Patient 123.24</t>
  </si>
  <si>
    <t>Patient 0006.22</t>
  </si>
  <si>
    <t>Patient 015.22</t>
  </si>
  <si>
    <t>Patient 013.22</t>
  </si>
  <si>
    <t>Patient 014.22</t>
  </si>
  <si>
    <t>Patient 0007.22</t>
  </si>
  <si>
    <t>Patient 0008.22</t>
  </si>
  <si>
    <t>Patient 012.22</t>
  </si>
  <si>
    <t>Patient 016.22</t>
  </si>
  <si>
    <t>Patient 020.23</t>
  </si>
  <si>
    <t>Patient 022.23</t>
  </si>
  <si>
    <t>Patient 024.23</t>
  </si>
  <si>
    <t>Patient 025.23</t>
  </si>
  <si>
    <t>Patient 028.23</t>
  </si>
  <si>
    <t>Patient 036.23</t>
  </si>
  <si>
    <t>Patient 037.23</t>
  </si>
  <si>
    <t>Patient 039.23</t>
  </si>
  <si>
    <t>Patient 041.23</t>
  </si>
  <si>
    <t>Patient 043.23</t>
  </si>
  <si>
    <t>Patient 044.23</t>
  </si>
  <si>
    <t>Patient 045.23</t>
  </si>
  <si>
    <t>Patient 048.23</t>
  </si>
  <si>
    <t>Patient 058.23</t>
  </si>
  <si>
    <t>Patient 062.23</t>
  </si>
  <si>
    <t>Patient 063.23</t>
  </si>
  <si>
    <t>Patient 068.23</t>
  </si>
  <si>
    <t>Patient 073.23</t>
  </si>
  <si>
    <t>Patient 075.23</t>
  </si>
  <si>
    <t>Patient 076.23</t>
  </si>
  <si>
    <t>Patient 078.23</t>
  </si>
  <si>
    <t>Patient 084.23</t>
  </si>
  <si>
    <t>Patient 085.23</t>
  </si>
  <si>
    <t>Patient 088.23</t>
  </si>
  <si>
    <t>Patient 094.23</t>
  </si>
  <si>
    <t>Patient 099.23</t>
  </si>
  <si>
    <t>Patient 100.23</t>
  </si>
  <si>
    <t>Patient 102.23</t>
  </si>
  <si>
    <t>Patient 106.23</t>
  </si>
  <si>
    <t>Patient  110.23</t>
  </si>
  <si>
    <t>Patient 114.23</t>
  </si>
  <si>
    <t>Patient 116.24</t>
  </si>
  <si>
    <t>Patient 117.24</t>
  </si>
  <si>
    <t>Patient 125.24</t>
  </si>
  <si>
    <t>Patient 012.23T</t>
  </si>
  <si>
    <t>Patient 015.23T</t>
  </si>
  <si>
    <t>Patient 016.23T</t>
  </si>
  <si>
    <t>Patient 018.23T</t>
  </si>
  <si>
    <t>Patient 019.23T</t>
  </si>
  <si>
    <t>Patient 020.23T</t>
  </si>
  <si>
    <t>Patient 021.23T</t>
  </si>
  <si>
    <t>Patient 022.23T</t>
  </si>
  <si>
    <t>Patient 023.23T</t>
  </si>
  <si>
    <t>Patient 024.23T</t>
  </si>
  <si>
    <t>Patient 025.23T</t>
  </si>
  <si>
    <t>Patient 026.23T</t>
  </si>
  <si>
    <t>Patient 027.23T</t>
  </si>
  <si>
    <t>Patient 029.23T</t>
  </si>
  <si>
    <t>Patient 030.23T</t>
  </si>
  <si>
    <t>Patient 031.23T</t>
  </si>
  <si>
    <t>Patient 032.23T</t>
  </si>
  <si>
    <t>Patient 033.24T</t>
  </si>
  <si>
    <t>Patient 034.24T</t>
  </si>
  <si>
    <t>Patient 035.24T</t>
  </si>
  <si>
    <t>Patient 036.24T</t>
  </si>
  <si>
    <t>Patient 037.24T</t>
  </si>
  <si>
    <t>Patient 038.24T</t>
  </si>
  <si>
    <t>Patient 039.24T</t>
  </si>
  <si>
    <t>Patient 40.24T</t>
  </si>
  <si>
    <t>Patient 041.24T</t>
  </si>
  <si>
    <t xml:space="preserve">Patient 042.24T </t>
  </si>
  <si>
    <t>Patient 043.24T</t>
  </si>
  <si>
    <t>Patient 044.23T</t>
  </si>
  <si>
    <t>Patient  045.24T</t>
  </si>
  <si>
    <t>Patient 046.23T</t>
  </si>
  <si>
    <t>Patient 047.23T</t>
  </si>
  <si>
    <t>Patient 0001.23T</t>
  </si>
  <si>
    <t>Patient 0002.23T</t>
  </si>
  <si>
    <t>Patient 0004.23T</t>
  </si>
  <si>
    <t>Patient 0005.23T</t>
  </si>
  <si>
    <t>Patient 0006.23T</t>
  </si>
  <si>
    <t>Patient 0008.23T</t>
  </si>
  <si>
    <t>Patient 010.23T</t>
  </si>
  <si>
    <t>Patient 011.23T</t>
  </si>
  <si>
    <t xml:space="preserve">Patient 104.23 </t>
  </si>
  <si>
    <t>Patient 105.23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</si>
</sst>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7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1" fillId="3" borderId="0" xfId="0" applyFont="1" applyFill="1"/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/>
    <xf numFmtId="0" fontId="2" fillId="7" borderId="0" xfId="0" applyFont="1" applyFill="1" applyAlignment="1">
      <alignment horizontal="center"/>
    </xf>
    <xf numFmtId="0" fontId="2" fillId="0" borderId="0" xfId="0" applyFont="1"/>
    <xf numFmtId="0" fontId="2" fillId="7" borderId="0" xfId="0" applyFont="1" applyFill="1"/>
    <xf numFmtId="0" fontId="1" fillId="4" borderId="0" xfId="0" applyFont="1" applyFill="1"/>
    <xf numFmtId="0" fontId="0" fillId="3" borderId="0" xfId="0" applyFill="1"/>
    <xf numFmtId="0" fontId="0" fillId="2" borderId="0" xfId="0" applyFill="1"/>
    <xf numFmtId="0" fontId="1" fillId="6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BCC92-EBA5-F641-856E-D4C9296A6C99}">
  <dimension ref="A1:BJ41"/>
  <sheetViews>
    <sheetView zoomScale="102" workbookViewId="0">
      <selection activeCell="B39" sqref="B39"/>
    </sheetView>
  </sheetViews>
  <sheetFormatPr baseColWidth="10" defaultRowHeight="18" x14ac:dyDescent="0.2"/>
  <cols>
    <col min="1" max="1" width="22.5" style="2" customWidth="1"/>
    <col min="2" max="3" width="10.83203125" style="2"/>
    <col min="4" max="4" width="26.6640625" style="2" customWidth="1"/>
    <col min="5" max="6" width="22.6640625" style="2" customWidth="1"/>
    <col min="7" max="7" width="22.5" style="2" customWidth="1"/>
    <col min="8" max="8" width="10.83203125" style="2"/>
    <col min="9" max="9" width="13.6640625" style="2" customWidth="1"/>
    <col min="10" max="11" width="10.83203125" style="2"/>
    <col min="12" max="12" width="20" style="2" customWidth="1"/>
    <col min="13" max="13" width="21.1640625" style="2" customWidth="1"/>
    <col min="14" max="14" width="17.83203125" style="2" customWidth="1"/>
    <col min="15" max="15" width="28" style="2" customWidth="1"/>
    <col min="16" max="16" width="21.6640625" style="2" customWidth="1"/>
    <col min="17" max="17" width="27.5" style="2" customWidth="1"/>
    <col min="18" max="18" width="14" style="2" customWidth="1"/>
    <col min="19" max="19" width="18.33203125" style="2" customWidth="1"/>
    <col min="20" max="21" width="10.83203125" style="2"/>
    <col min="22" max="22" width="35.33203125" style="2" customWidth="1"/>
    <col min="23" max="23" width="43.33203125" style="2" customWidth="1"/>
    <col min="24" max="25" width="33.1640625" style="2" customWidth="1"/>
    <col min="26" max="27" width="12.6640625" style="2" customWidth="1"/>
    <col min="28" max="28" width="20.1640625" style="2" customWidth="1"/>
    <col min="29" max="29" width="10.83203125" style="2"/>
    <col min="30" max="30" width="12.1640625" style="8" bestFit="1" customWidth="1"/>
    <col min="31" max="32" width="10.83203125" style="2"/>
    <col min="33" max="33" width="10.83203125" style="8"/>
    <col min="34" max="38" width="10.83203125" style="2"/>
    <col min="39" max="39" width="16.6640625" style="8" bestFit="1" customWidth="1"/>
    <col min="40" max="40" width="15.5" style="10" bestFit="1" customWidth="1"/>
    <col min="41" max="41" width="10.83203125" style="2"/>
    <col min="42" max="42" width="18.1640625" style="8" bestFit="1" customWidth="1"/>
    <col min="43" max="43" width="12.33203125" style="10" bestFit="1" customWidth="1"/>
    <col min="44" max="44" width="14.6640625" style="2" customWidth="1"/>
    <col min="45" max="45" width="14.5" style="2" customWidth="1"/>
    <col min="46" max="46" width="13.1640625" style="8" bestFit="1" customWidth="1"/>
    <col min="47" max="47" width="13.1640625" style="10" bestFit="1" customWidth="1"/>
    <col min="48" max="49" width="12.6640625" style="2" customWidth="1"/>
    <col min="50" max="51" width="10.83203125" style="2"/>
    <col min="52" max="52" width="15.5" style="2" customWidth="1"/>
    <col min="53" max="53" width="19.5" style="2" customWidth="1"/>
    <col min="54" max="54" width="16.1640625" style="8" bestFit="1" customWidth="1"/>
    <col min="55" max="55" width="15.5" style="10" customWidth="1"/>
    <col min="56" max="56" width="13.83203125" style="2" customWidth="1"/>
    <col min="57" max="57" width="17.1640625" style="2" customWidth="1"/>
    <col min="58" max="58" width="13.6640625" style="8" bestFit="1" customWidth="1"/>
    <col min="59" max="59" width="16.6640625" style="10" bestFit="1" customWidth="1"/>
    <col min="60" max="60" width="10.83203125" style="15"/>
    <col min="61" max="61" width="10.83203125" style="13"/>
    <col min="62" max="16384" width="10.83203125" style="2"/>
  </cols>
  <sheetData>
    <row r="1" spans="1:62" s="1" customFormat="1" x14ac:dyDescent="0.2">
      <c r="A1" s="1" t="s">
        <v>0</v>
      </c>
      <c r="B1" s="1" t="s">
        <v>1</v>
      </c>
      <c r="C1" s="1" t="s">
        <v>74</v>
      </c>
      <c r="D1" s="1" t="s">
        <v>44</v>
      </c>
      <c r="E1" s="1" t="s">
        <v>51</v>
      </c>
      <c r="F1" s="1" t="s">
        <v>50</v>
      </c>
      <c r="G1" s="1" t="s">
        <v>78</v>
      </c>
      <c r="H1" s="1" t="s">
        <v>129</v>
      </c>
      <c r="I1" s="1" t="s">
        <v>57</v>
      </c>
      <c r="J1" s="1" t="s">
        <v>82</v>
      </c>
      <c r="K1" s="1" t="s">
        <v>58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87</v>
      </c>
      <c r="T1" s="1" t="s">
        <v>72</v>
      </c>
      <c r="U1" s="1" t="s">
        <v>2</v>
      </c>
      <c r="V1" s="1" t="s">
        <v>36</v>
      </c>
      <c r="W1" s="1" t="s">
        <v>28</v>
      </c>
      <c r="X1" s="1" t="s">
        <v>27</v>
      </c>
      <c r="Y1" s="1" t="s">
        <v>3</v>
      </c>
      <c r="Z1" s="1" t="s">
        <v>4</v>
      </c>
      <c r="AA1" s="1" t="s">
        <v>117</v>
      </c>
      <c r="AB1" s="1" t="s">
        <v>124</v>
      </c>
      <c r="AC1" s="1" t="s">
        <v>37</v>
      </c>
      <c r="AD1" s="7" t="s">
        <v>91</v>
      </c>
      <c r="AE1" s="1" t="s">
        <v>94</v>
      </c>
      <c r="AF1" s="1" t="s">
        <v>38</v>
      </c>
      <c r="AG1" s="11" t="s">
        <v>106</v>
      </c>
      <c r="AH1" s="1" t="s">
        <v>39</v>
      </c>
      <c r="AI1" s="1" t="s">
        <v>95</v>
      </c>
      <c r="AJ1" s="1" t="s">
        <v>96</v>
      </c>
      <c r="AK1" s="1" t="s">
        <v>97</v>
      </c>
      <c r="AL1" s="1" t="s">
        <v>98</v>
      </c>
      <c r="AM1" s="7" t="s">
        <v>107</v>
      </c>
      <c r="AN1" s="9" t="s">
        <v>108</v>
      </c>
      <c r="AO1" s="1" t="s">
        <v>99</v>
      </c>
      <c r="AP1" s="7" t="s">
        <v>125</v>
      </c>
      <c r="AQ1" s="9" t="s">
        <v>126</v>
      </c>
      <c r="AR1" s="1" t="s">
        <v>100</v>
      </c>
      <c r="AS1" s="1" t="s">
        <v>101</v>
      </c>
      <c r="AT1" s="7" t="s">
        <v>109</v>
      </c>
      <c r="AU1" s="9" t="s">
        <v>110</v>
      </c>
      <c r="AV1" s="1" t="s">
        <v>102</v>
      </c>
      <c r="AW1" s="1" t="s">
        <v>120</v>
      </c>
      <c r="AX1" s="1" t="s">
        <v>104</v>
      </c>
      <c r="AY1" s="1" t="s">
        <v>105</v>
      </c>
      <c r="AZ1" s="1" t="s">
        <v>40</v>
      </c>
      <c r="BA1" s="1" t="s">
        <v>41</v>
      </c>
      <c r="BB1" s="7" t="s">
        <v>127</v>
      </c>
      <c r="BC1" s="9" t="s">
        <v>113</v>
      </c>
      <c r="BD1" s="1" t="s">
        <v>42</v>
      </c>
      <c r="BE1" s="1" t="s">
        <v>43</v>
      </c>
      <c r="BF1" s="7" t="s">
        <v>128</v>
      </c>
      <c r="BG1" s="9" t="s">
        <v>116</v>
      </c>
      <c r="BH1" s="1" t="s">
        <v>73</v>
      </c>
      <c r="BI1" s="1" t="s">
        <v>92</v>
      </c>
      <c r="BJ1" s="1" t="s">
        <v>93</v>
      </c>
    </row>
    <row r="2" spans="1:62" x14ac:dyDescent="0.2">
      <c r="A2" s="2" t="s">
        <v>133</v>
      </c>
      <c r="B2" s="2">
        <v>46</v>
      </c>
      <c r="C2" s="2">
        <v>26.7</v>
      </c>
      <c r="D2" s="2" t="s">
        <v>45</v>
      </c>
      <c r="E2" s="2" t="s">
        <v>48</v>
      </c>
      <c r="F2" s="2" t="s">
        <v>52</v>
      </c>
      <c r="G2" s="2">
        <v>17</v>
      </c>
      <c r="H2" s="2">
        <v>4</v>
      </c>
      <c r="I2" s="2" t="s">
        <v>59</v>
      </c>
      <c r="J2" s="2">
        <v>3</v>
      </c>
      <c r="K2" s="2" t="s">
        <v>63</v>
      </c>
      <c r="L2" s="2" t="s">
        <v>131</v>
      </c>
      <c r="M2" s="2" t="s">
        <v>130</v>
      </c>
      <c r="N2" s="3" t="s">
        <v>130</v>
      </c>
      <c r="O2" s="2" t="s">
        <v>131</v>
      </c>
      <c r="P2" s="2" t="s">
        <v>130</v>
      </c>
      <c r="Q2" s="2" t="s">
        <v>130</v>
      </c>
      <c r="R2" s="2" t="s">
        <v>130</v>
      </c>
      <c r="S2" s="2" t="s">
        <v>131</v>
      </c>
      <c r="T2" s="2" t="s">
        <v>130</v>
      </c>
      <c r="U2" s="2" t="s">
        <v>130</v>
      </c>
      <c r="V2" s="2" t="s">
        <v>7</v>
      </c>
      <c r="W2" s="2">
        <v>95</v>
      </c>
      <c r="X2" s="2" t="s">
        <v>8</v>
      </c>
      <c r="Y2" s="2" t="s">
        <v>9</v>
      </c>
      <c r="Z2" s="2" t="s">
        <v>10</v>
      </c>
      <c r="AA2" s="2" t="s">
        <v>131</v>
      </c>
      <c r="AB2" s="2" t="s">
        <v>11</v>
      </c>
      <c r="AC2" s="2">
        <v>15.4</v>
      </c>
      <c r="AD2" s="8" t="str">
        <f>IF(AC2&gt;6,"Yes","No")</f>
        <v>Yes</v>
      </c>
      <c r="AE2" s="2">
        <v>4.5599999999999996</v>
      </c>
      <c r="AF2" s="2">
        <v>11.2</v>
      </c>
      <c r="AG2" s="8" t="s">
        <v>131</v>
      </c>
      <c r="AH2" s="2">
        <v>36</v>
      </c>
      <c r="AI2" s="2">
        <v>78.900000000000006</v>
      </c>
      <c r="AJ2" s="2">
        <v>24.6</v>
      </c>
      <c r="AK2" s="2">
        <v>31.1</v>
      </c>
      <c r="AL2" s="2">
        <v>247</v>
      </c>
      <c r="AM2" s="8" t="str">
        <f>IF(AL2&gt;400,"Yes","No")</f>
        <v>No</v>
      </c>
      <c r="AN2" s="10" t="str">
        <f>IF(AL2&lt;150,"Yes","No")</f>
        <v>No</v>
      </c>
      <c r="AO2" s="2">
        <v>5.19</v>
      </c>
      <c r="AP2" s="8" t="str">
        <f>IF(AO2&gt;10,"Yes","No")</f>
        <v>No</v>
      </c>
      <c r="AQ2" s="10" t="str">
        <f>IF(AO2&lt;4,"Yes","No")</f>
        <v>No</v>
      </c>
      <c r="AR2" s="2">
        <v>3.02</v>
      </c>
      <c r="AS2" s="2">
        <v>58.1</v>
      </c>
      <c r="AT2" s="8" t="str">
        <f>IF(AR2&gt;7.5,"Yes","No")</f>
        <v>No</v>
      </c>
      <c r="AU2" s="10" t="str">
        <f>IF(AR2&lt;2,"Yes","No")</f>
        <v>No</v>
      </c>
      <c r="AV2" s="2">
        <v>0.05</v>
      </c>
      <c r="AW2" s="2">
        <v>1</v>
      </c>
      <c r="AX2" s="2">
        <v>0.02</v>
      </c>
      <c r="AY2" s="2">
        <v>0.4</v>
      </c>
      <c r="AZ2" s="2">
        <v>1.77</v>
      </c>
      <c r="BA2" s="2">
        <v>34.1</v>
      </c>
      <c r="BB2" s="8" t="str">
        <f>IF(AZ2&gt;4,"Yes","No")</f>
        <v>No</v>
      </c>
      <c r="BC2" s="10" t="str">
        <f>IF(AZ2&lt;1,"Yes","No")</f>
        <v>No</v>
      </c>
      <c r="BD2" s="2">
        <v>0.33</v>
      </c>
      <c r="BE2" s="2">
        <v>6.4</v>
      </c>
      <c r="BF2" s="8" t="str">
        <f>IF(BD2&gt;1,"Yes","No")</f>
        <v>No</v>
      </c>
      <c r="BG2" s="10" t="str">
        <f>IF(BD2&lt;0.2,"Yes","No")</f>
        <v>No</v>
      </c>
      <c r="BH2" s="15">
        <f>IF(AR2=0," ",AR2/AZ2)</f>
        <v>1.7062146892655368</v>
      </c>
      <c r="BI2" s="13">
        <f>BD2/AZ2</f>
        <v>0.1864406779661017</v>
      </c>
      <c r="BJ2" s="2">
        <f>AL2/AZ2</f>
        <v>139.54802259887006</v>
      </c>
    </row>
    <row r="3" spans="1:62" x14ac:dyDescent="0.2">
      <c r="A3" s="2" t="s">
        <v>134</v>
      </c>
      <c r="B3" s="2">
        <v>40</v>
      </c>
      <c r="C3" s="2">
        <v>27.01</v>
      </c>
      <c r="D3" s="2" t="s">
        <v>45</v>
      </c>
      <c r="E3" s="2" t="s">
        <v>47</v>
      </c>
      <c r="F3" s="2" t="s">
        <v>55</v>
      </c>
      <c r="G3" s="2">
        <v>22</v>
      </c>
      <c r="H3" s="2">
        <v>5</v>
      </c>
      <c r="I3" s="2" t="s">
        <v>59</v>
      </c>
      <c r="J3" s="2">
        <v>5</v>
      </c>
      <c r="K3" s="2" t="s">
        <v>63</v>
      </c>
      <c r="L3" s="2" t="s">
        <v>130</v>
      </c>
      <c r="M3" s="2" t="s">
        <v>130</v>
      </c>
      <c r="N3" s="3" t="s">
        <v>130</v>
      </c>
      <c r="O3" s="2" t="s">
        <v>131</v>
      </c>
      <c r="P3" s="2" t="s">
        <v>131</v>
      </c>
      <c r="Q3" s="2" t="s">
        <v>130</v>
      </c>
      <c r="R3" s="2" t="s">
        <v>130</v>
      </c>
      <c r="S3" s="2" t="s">
        <v>131</v>
      </c>
      <c r="T3" s="2" t="s">
        <v>130</v>
      </c>
      <c r="U3" s="2" t="s">
        <v>130</v>
      </c>
      <c r="V3" s="2" t="s">
        <v>12</v>
      </c>
      <c r="W3" s="2" t="s">
        <v>29</v>
      </c>
      <c r="X3" s="2" t="s">
        <v>13</v>
      </c>
      <c r="Y3" s="2" t="s">
        <v>9</v>
      </c>
      <c r="Z3" s="2" t="s">
        <v>14</v>
      </c>
      <c r="AA3" s="2" t="s">
        <v>130</v>
      </c>
      <c r="AB3" s="2" t="s">
        <v>15</v>
      </c>
      <c r="AC3" s="2">
        <v>20.8</v>
      </c>
      <c r="AD3" s="8" t="str">
        <f t="shared" ref="AD3:AD41" si="0">IF(AC3&gt;6,"Yes","No")</f>
        <v>Yes</v>
      </c>
      <c r="AE3" s="2">
        <v>4.22</v>
      </c>
      <c r="AF3" s="2">
        <v>13.2</v>
      </c>
      <c r="AG3" s="8" t="s">
        <v>130</v>
      </c>
      <c r="AH3" s="2">
        <v>39.299999999999997</v>
      </c>
      <c r="AI3" s="2">
        <v>93.1</v>
      </c>
      <c r="AJ3" s="2">
        <v>31.3</v>
      </c>
      <c r="AK3" s="2">
        <v>33.6</v>
      </c>
      <c r="AL3" s="2">
        <v>302</v>
      </c>
      <c r="AM3" s="8" t="str">
        <f t="shared" ref="AM3:AM41" si="1">IF(AL3&gt;400,"Yes","No")</f>
        <v>No</v>
      </c>
      <c r="AN3" s="10" t="str">
        <f t="shared" ref="AN3:AN41" si="2">IF(AL3&lt;150,"Yes","No")</f>
        <v>No</v>
      </c>
      <c r="AO3" s="2">
        <v>7.11</v>
      </c>
      <c r="AP3" s="8" t="str">
        <f t="shared" ref="AP3:AP41" si="3">IF(AO3&gt;10,"Yes","No")</f>
        <v>No</v>
      </c>
      <c r="AQ3" s="10" t="str">
        <f t="shared" ref="AQ3:AQ41" si="4">IF(AO3&lt;4,"Yes","No")</f>
        <v>No</v>
      </c>
      <c r="AR3" s="2">
        <v>4.01</v>
      </c>
      <c r="AS3" s="2">
        <v>56.3</v>
      </c>
      <c r="AT3" s="8" t="str">
        <f t="shared" ref="AT3:AT41" si="5">IF(AR3&gt;7.5,"Yes","No")</f>
        <v>No</v>
      </c>
      <c r="AU3" s="10" t="str">
        <f t="shared" ref="AU3:AU41" si="6">IF(AR3&lt;2,"Yes","No")</f>
        <v>No</v>
      </c>
      <c r="AV3" s="2">
        <v>0.09</v>
      </c>
      <c r="AW3" s="2">
        <v>1.3</v>
      </c>
      <c r="AX3" s="2">
        <v>0.04</v>
      </c>
      <c r="AY3" s="2">
        <v>0.6</v>
      </c>
      <c r="AZ3" s="2">
        <v>2.58</v>
      </c>
      <c r="BA3" s="2">
        <v>36.299999999999997</v>
      </c>
      <c r="BB3" s="8" t="str">
        <f t="shared" ref="BB3:BB41" si="7">IF(AZ3&gt;4,"Yes","No")</f>
        <v>No</v>
      </c>
      <c r="BC3" s="10" t="str">
        <f t="shared" ref="BC3:BC41" si="8">IF(AZ3&lt;1,"Yes","No")</f>
        <v>No</v>
      </c>
      <c r="BD3" s="2">
        <v>0.39</v>
      </c>
      <c r="BE3" s="2">
        <v>5.5</v>
      </c>
      <c r="BF3" s="8" t="str">
        <f t="shared" ref="BF3:BF41" si="9">IF(BD3&gt;1,"Yes","No")</f>
        <v>No</v>
      </c>
      <c r="BG3" s="10" t="str">
        <f t="shared" ref="BG3:BG41" si="10">IF(BD3&lt;0.2,"Yes","No")</f>
        <v>No</v>
      </c>
      <c r="BH3" s="15">
        <f t="shared" ref="BH3:BH41" si="11">IF(AR3=0," ",AR3/AZ3)</f>
        <v>1.5542635658914727</v>
      </c>
      <c r="BI3" s="13">
        <f t="shared" ref="BI3:BI41" si="12">BD3/AZ3</f>
        <v>0.15116279069767441</v>
      </c>
      <c r="BJ3" s="2">
        <f t="shared" ref="BJ3:BJ41" si="13">AL3/AZ3</f>
        <v>117.05426356589147</v>
      </c>
    </row>
    <row r="4" spans="1:62" x14ac:dyDescent="0.2">
      <c r="A4" s="2" t="s">
        <v>135</v>
      </c>
      <c r="B4" s="2">
        <v>39</v>
      </c>
      <c r="C4" s="2">
        <v>18.8</v>
      </c>
      <c r="D4" s="2" t="s">
        <v>45</v>
      </c>
      <c r="E4" s="2" t="s">
        <v>47</v>
      </c>
      <c r="F4" s="2" t="s">
        <v>52</v>
      </c>
      <c r="G4" s="2">
        <v>36</v>
      </c>
      <c r="H4" s="2">
        <v>1</v>
      </c>
      <c r="I4" s="2" t="s">
        <v>60</v>
      </c>
      <c r="J4" s="2">
        <v>0</v>
      </c>
      <c r="K4" s="2" t="s">
        <v>64</v>
      </c>
      <c r="L4" s="2" t="s">
        <v>131</v>
      </c>
      <c r="M4" s="2" t="s">
        <v>130</v>
      </c>
      <c r="N4" s="3" t="s">
        <v>130</v>
      </c>
      <c r="O4" s="2" t="s">
        <v>130</v>
      </c>
      <c r="P4" s="2" t="s">
        <v>130</v>
      </c>
      <c r="Q4" s="2" t="s">
        <v>130</v>
      </c>
      <c r="R4" s="2" t="s">
        <v>130</v>
      </c>
      <c r="S4" s="2" t="s">
        <v>131</v>
      </c>
      <c r="T4" s="2" t="s">
        <v>130</v>
      </c>
      <c r="U4" s="2" t="s">
        <v>130</v>
      </c>
      <c r="V4" s="2" t="s">
        <v>7</v>
      </c>
      <c r="W4" s="2">
        <v>20</v>
      </c>
      <c r="X4" s="2" t="s">
        <v>16</v>
      </c>
      <c r="Y4" s="2" t="s">
        <v>9</v>
      </c>
      <c r="Z4" s="2" t="s">
        <v>14</v>
      </c>
      <c r="AA4" s="2" t="s">
        <v>130</v>
      </c>
      <c r="AB4" s="2" t="s">
        <v>15</v>
      </c>
      <c r="AC4" s="2">
        <v>1.5</v>
      </c>
      <c r="AD4" s="8" t="str">
        <f t="shared" si="0"/>
        <v>No</v>
      </c>
      <c r="AE4" s="2">
        <v>3.5</v>
      </c>
      <c r="AF4" s="2">
        <v>13.5</v>
      </c>
      <c r="AG4" s="8" t="s">
        <v>130</v>
      </c>
      <c r="AH4" s="2">
        <v>39</v>
      </c>
      <c r="AI4" s="2">
        <v>89</v>
      </c>
      <c r="AJ4" s="2">
        <v>28.5</v>
      </c>
      <c r="AK4" s="2">
        <v>33</v>
      </c>
      <c r="AL4" s="2">
        <v>268</v>
      </c>
      <c r="AM4" s="8" t="str">
        <f t="shared" si="1"/>
        <v>No</v>
      </c>
      <c r="AN4" s="10" t="str">
        <f t="shared" si="2"/>
        <v>No</v>
      </c>
      <c r="AO4" s="2">
        <v>4.08</v>
      </c>
      <c r="AP4" s="8" t="str">
        <f t="shared" si="3"/>
        <v>No</v>
      </c>
      <c r="AQ4" s="10" t="str">
        <f t="shared" si="4"/>
        <v>No</v>
      </c>
      <c r="AR4" s="2">
        <v>3.8</v>
      </c>
      <c r="AS4" s="2">
        <v>56.8</v>
      </c>
      <c r="AT4" s="8" t="str">
        <f t="shared" si="5"/>
        <v>No</v>
      </c>
      <c r="AU4" s="10" t="str">
        <f t="shared" si="6"/>
        <v>No</v>
      </c>
      <c r="AV4" s="2">
        <v>0.13</v>
      </c>
      <c r="AW4" s="2">
        <v>2.0699999999999998</v>
      </c>
      <c r="AX4" s="2">
        <v>0.01</v>
      </c>
      <c r="AY4" s="2">
        <v>0.4</v>
      </c>
      <c r="AZ4" s="2">
        <v>3.08</v>
      </c>
      <c r="BA4" s="2">
        <v>34.1</v>
      </c>
      <c r="BB4" s="8" t="str">
        <f t="shared" si="7"/>
        <v>No</v>
      </c>
      <c r="BC4" s="10" t="str">
        <f t="shared" si="8"/>
        <v>No</v>
      </c>
      <c r="BD4" s="2">
        <v>0.36</v>
      </c>
      <c r="BE4" s="2">
        <v>6.5</v>
      </c>
      <c r="BF4" s="8" t="str">
        <f t="shared" si="9"/>
        <v>No</v>
      </c>
      <c r="BG4" s="10" t="str">
        <f t="shared" si="10"/>
        <v>No</v>
      </c>
      <c r="BH4" s="15">
        <f t="shared" si="11"/>
        <v>1.2337662337662336</v>
      </c>
      <c r="BI4" s="13">
        <f t="shared" si="12"/>
        <v>0.11688311688311688</v>
      </c>
      <c r="BJ4" s="2">
        <f t="shared" si="13"/>
        <v>87.012987012987011</v>
      </c>
    </row>
    <row r="5" spans="1:62" x14ac:dyDescent="0.2">
      <c r="A5" s="2" t="s">
        <v>136</v>
      </c>
      <c r="B5" s="2">
        <v>60</v>
      </c>
      <c r="C5" s="2">
        <v>21.3</v>
      </c>
      <c r="D5" s="2" t="s">
        <v>45</v>
      </c>
      <c r="E5" s="2" t="s">
        <v>48</v>
      </c>
      <c r="F5" s="2" t="s">
        <v>55</v>
      </c>
      <c r="G5" s="2">
        <v>20</v>
      </c>
      <c r="H5" s="2">
        <v>7</v>
      </c>
      <c r="I5" s="2" t="s">
        <v>59</v>
      </c>
      <c r="J5" s="2">
        <v>6</v>
      </c>
      <c r="K5" s="2" t="s">
        <v>63</v>
      </c>
      <c r="L5" s="2" t="s">
        <v>130</v>
      </c>
      <c r="M5" s="2" t="s">
        <v>130</v>
      </c>
      <c r="N5" s="2" t="s">
        <v>131</v>
      </c>
      <c r="O5" s="2" t="s">
        <v>130</v>
      </c>
      <c r="P5" s="2" t="s">
        <v>130</v>
      </c>
      <c r="Q5" s="2" t="s">
        <v>130</v>
      </c>
      <c r="R5" s="2" t="s">
        <v>130</v>
      </c>
      <c r="S5" s="2" t="s">
        <v>131</v>
      </c>
      <c r="T5" s="2" t="s">
        <v>131</v>
      </c>
      <c r="U5" s="2" t="s">
        <v>130</v>
      </c>
      <c r="V5" s="2" t="s">
        <v>7</v>
      </c>
      <c r="W5" s="2">
        <v>1</v>
      </c>
      <c r="X5" s="2" t="s">
        <v>8</v>
      </c>
      <c r="Y5" s="2" t="s">
        <v>9</v>
      </c>
      <c r="Z5" s="2" t="s">
        <v>10</v>
      </c>
      <c r="AA5" s="2" t="s">
        <v>131</v>
      </c>
      <c r="AB5" s="2" t="s">
        <v>11</v>
      </c>
      <c r="AC5" s="2">
        <v>73.8</v>
      </c>
      <c r="AD5" s="8" t="str">
        <f t="shared" si="0"/>
        <v>Yes</v>
      </c>
      <c r="AE5" s="2">
        <v>4.13</v>
      </c>
      <c r="AF5" s="2">
        <v>10.7</v>
      </c>
      <c r="AG5" s="8" t="s">
        <v>131</v>
      </c>
      <c r="AH5" s="2">
        <v>33</v>
      </c>
      <c r="AI5" s="2">
        <v>79.900000000000006</v>
      </c>
      <c r="AJ5" s="2">
        <v>25.9</v>
      </c>
      <c r="AK5" s="2">
        <v>32.4</v>
      </c>
      <c r="AL5" s="2">
        <v>276</v>
      </c>
      <c r="AM5" s="8" t="str">
        <f t="shared" si="1"/>
        <v>No</v>
      </c>
      <c r="AN5" s="10" t="str">
        <f t="shared" si="2"/>
        <v>No</v>
      </c>
      <c r="AO5" s="2">
        <v>5.47</v>
      </c>
      <c r="AP5" s="8" t="str">
        <f t="shared" si="3"/>
        <v>No</v>
      </c>
      <c r="AQ5" s="10" t="str">
        <f t="shared" si="4"/>
        <v>No</v>
      </c>
      <c r="AR5" s="2">
        <v>3.55</v>
      </c>
      <c r="AS5" s="2">
        <v>64.900000000000006</v>
      </c>
      <c r="AT5" s="8" t="str">
        <f t="shared" si="5"/>
        <v>No</v>
      </c>
      <c r="AU5" s="10" t="str">
        <f t="shared" si="6"/>
        <v>No</v>
      </c>
      <c r="AV5" s="2">
        <v>0.02</v>
      </c>
      <c r="AW5" s="2">
        <v>0.4</v>
      </c>
      <c r="AX5" s="2">
        <v>0.03</v>
      </c>
      <c r="AY5" s="2">
        <v>0.5</v>
      </c>
      <c r="AZ5" s="2">
        <v>1.07</v>
      </c>
      <c r="BA5" s="2">
        <v>19.600000000000001</v>
      </c>
      <c r="BB5" s="8" t="str">
        <f t="shared" si="7"/>
        <v>No</v>
      </c>
      <c r="BC5" s="10" t="str">
        <f t="shared" si="8"/>
        <v>No</v>
      </c>
      <c r="BD5" s="2">
        <v>0.8</v>
      </c>
      <c r="BE5" s="2">
        <v>14.6</v>
      </c>
      <c r="BF5" s="8" t="str">
        <f t="shared" si="9"/>
        <v>No</v>
      </c>
      <c r="BG5" s="10" t="str">
        <f t="shared" si="10"/>
        <v>No</v>
      </c>
      <c r="BH5" s="15">
        <f t="shared" si="11"/>
        <v>3.3177570093457942</v>
      </c>
      <c r="BI5" s="13">
        <f t="shared" si="12"/>
        <v>0.74766355140186913</v>
      </c>
      <c r="BJ5" s="2">
        <f t="shared" si="13"/>
        <v>257.94392523364485</v>
      </c>
    </row>
    <row r="6" spans="1:62" x14ac:dyDescent="0.2">
      <c r="A6" s="2" t="s">
        <v>169</v>
      </c>
      <c r="B6" s="2">
        <v>56</v>
      </c>
      <c r="C6" s="2">
        <v>25.57</v>
      </c>
      <c r="D6" s="2" t="s">
        <v>45</v>
      </c>
      <c r="E6" s="2" t="s">
        <v>47</v>
      </c>
      <c r="F6" s="2" t="s">
        <v>52</v>
      </c>
      <c r="G6" s="2">
        <v>15</v>
      </c>
      <c r="H6" s="2">
        <v>7</v>
      </c>
      <c r="I6" s="2" t="s">
        <v>59</v>
      </c>
      <c r="J6" s="2">
        <v>7</v>
      </c>
      <c r="K6" s="2" t="s">
        <v>63</v>
      </c>
      <c r="L6" s="2" t="s">
        <v>130</v>
      </c>
      <c r="M6" s="2" t="s">
        <v>130</v>
      </c>
      <c r="N6" s="2" t="s">
        <v>131</v>
      </c>
      <c r="O6" s="2" t="s">
        <v>130</v>
      </c>
      <c r="P6" s="2" t="s">
        <v>131</v>
      </c>
      <c r="Q6" s="2" t="s">
        <v>130</v>
      </c>
      <c r="R6" s="2" t="s">
        <v>130</v>
      </c>
      <c r="S6" s="2" t="s">
        <v>131</v>
      </c>
      <c r="T6" s="2" t="s">
        <v>130</v>
      </c>
      <c r="U6" s="2" t="s">
        <v>130</v>
      </c>
      <c r="V6" s="2" t="s">
        <v>17</v>
      </c>
      <c r="W6" s="2" t="s">
        <v>29</v>
      </c>
      <c r="X6" s="2" t="s">
        <v>8</v>
      </c>
      <c r="Y6" s="2" t="s">
        <v>18</v>
      </c>
      <c r="Z6" s="2" t="s">
        <v>14</v>
      </c>
      <c r="AA6" s="2" t="s">
        <v>130</v>
      </c>
      <c r="AB6" s="2" t="s">
        <v>19</v>
      </c>
      <c r="AC6" s="2">
        <v>8.59</v>
      </c>
      <c r="AD6" s="8" t="str">
        <f t="shared" si="0"/>
        <v>Yes</v>
      </c>
      <c r="AE6" s="2">
        <v>7</v>
      </c>
      <c r="AF6" s="2">
        <v>12.2</v>
      </c>
      <c r="AG6" s="8" t="s">
        <v>130</v>
      </c>
      <c r="AH6" s="2">
        <v>38.1</v>
      </c>
      <c r="AI6" s="2">
        <v>88.8</v>
      </c>
      <c r="AJ6" s="2">
        <v>28.4</v>
      </c>
      <c r="AK6" s="2">
        <v>32</v>
      </c>
      <c r="AL6" s="2">
        <v>280</v>
      </c>
      <c r="AM6" s="8" t="str">
        <f t="shared" si="1"/>
        <v>No</v>
      </c>
      <c r="AN6" s="10" t="str">
        <f t="shared" si="2"/>
        <v>No</v>
      </c>
      <c r="AO6" s="2">
        <v>7</v>
      </c>
      <c r="AP6" s="8" t="str">
        <f t="shared" si="3"/>
        <v>No</v>
      </c>
      <c r="AQ6" s="10" t="str">
        <f t="shared" si="4"/>
        <v>No</v>
      </c>
      <c r="AR6" s="2">
        <v>3.76</v>
      </c>
      <c r="AS6" s="2">
        <v>53.7</v>
      </c>
      <c r="AT6" s="8" t="str">
        <f t="shared" si="5"/>
        <v>No</v>
      </c>
      <c r="AU6" s="10" t="str">
        <f t="shared" si="6"/>
        <v>No</v>
      </c>
      <c r="AV6" s="2">
        <v>0.14000000000000001</v>
      </c>
      <c r="AW6" s="2">
        <v>2</v>
      </c>
      <c r="AX6" s="2">
        <v>0.02</v>
      </c>
      <c r="AY6" s="2">
        <v>0.3</v>
      </c>
      <c r="AZ6" s="2">
        <v>2.69</v>
      </c>
      <c r="BA6" s="2">
        <v>38.4</v>
      </c>
      <c r="BB6" s="8" t="str">
        <f t="shared" si="7"/>
        <v>No</v>
      </c>
      <c r="BC6" s="10" t="str">
        <f t="shared" si="8"/>
        <v>No</v>
      </c>
      <c r="BD6" s="2">
        <v>0.39</v>
      </c>
      <c r="BE6" s="2">
        <v>5.6</v>
      </c>
      <c r="BF6" s="8" t="str">
        <f t="shared" si="9"/>
        <v>No</v>
      </c>
      <c r="BG6" s="10" t="str">
        <f t="shared" si="10"/>
        <v>No</v>
      </c>
      <c r="BH6" s="15">
        <f t="shared" si="11"/>
        <v>1.3977695167286246</v>
      </c>
      <c r="BI6" s="13">
        <f t="shared" si="12"/>
        <v>0.1449814126394052</v>
      </c>
      <c r="BJ6" s="2">
        <f t="shared" si="13"/>
        <v>104.08921933085502</v>
      </c>
    </row>
    <row r="7" spans="1:62" x14ac:dyDescent="0.2">
      <c r="A7" s="2" t="s">
        <v>137</v>
      </c>
      <c r="B7" s="2">
        <v>55</v>
      </c>
      <c r="C7" s="2">
        <v>25.23</v>
      </c>
      <c r="D7" s="2" t="s">
        <v>45</v>
      </c>
      <c r="E7" s="2" t="s">
        <v>46</v>
      </c>
      <c r="F7" s="2" t="s">
        <v>52</v>
      </c>
      <c r="G7" s="2">
        <v>21</v>
      </c>
      <c r="H7" s="2">
        <v>0</v>
      </c>
      <c r="I7" s="2" t="s">
        <v>61</v>
      </c>
      <c r="J7" s="2">
        <v>0</v>
      </c>
      <c r="K7" s="2" t="s">
        <v>64</v>
      </c>
      <c r="L7" s="2" t="s">
        <v>130</v>
      </c>
      <c r="M7" s="2" t="s">
        <v>130</v>
      </c>
      <c r="N7" s="2" t="s">
        <v>131</v>
      </c>
      <c r="O7" s="2" t="s">
        <v>131</v>
      </c>
      <c r="P7" s="2" t="s">
        <v>130</v>
      </c>
      <c r="Q7" s="2" t="s">
        <v>130</v>
      </c>
      <c r="R7" s="2" t="s">
        <v>130</v>
      </c>
      <c r="S7" s="2" t="s">
        <v>131</v>
      </c>
      <c r="T7" s="2" t="s">
        <v>130</v>
      </c>
      <c r="U7" s="2" t="s">
        <v>130</v>
      </c>
      <c r="V7" s="2" t="s">
        <v>7</v>
      </c>
      <c r="W7" s="2" t="s">
        <v>29</v>
      </c>
      <c r="X7" s="2" t="s">
        <v>8</v>
      </c>
      <c r="Y7" s="2" t="s">
        <v>20</v>
      </c>
      <c r="Z7" s="2" t="s">
        <v>14</v>
      </c>
      <c r="AA7" s="2" t="s">
        <v>130</v>
      </c>
      <c r="AB7" s="2" t="s">
        <v>19</v>
      </c>
      <c r="AC7" s="2">
        <v>120.2</v>
      </c>
      <c r="AD7" s="8" t="str">
        <f t="shared" si="0"/>
        <v>Yes</v>
      </c>
      <c r="AE7" s="2">
        <v>4.5599999999999996</v>
      </c>
      <c r="AF7" s="2">
        <v>11.2</v>
      </c>
      <c r="AG7" s="8" t="s">
        <v>131</v>
      </c>
      <c r="AH7" s="2">
        <v>36</v>
      </c>
      <c r="AI7" s="2">
        <v>78.900000000000006</v>
      </c>
      <c r="AJ7" s="2">
        <v>24.6</v>
      </c>
      <c r="AK7" s="2">
        <v>31.1</v>
      </c>
      <c r="AL7" s="2">
        <v>247</v>
      </c>
      <c r="AM7" s="8" t="str">
        <f t="shared" si="1"/>
        <v>No</v>
      </c>
      <c r="AN7" s="10" t="str">
        <f t="shared" si="2"/>
        <v>No</v>
      </c>
      <c r="AO7" s="2">
        <v>5.19</v>
      </c>
      <c r="AP7" s="8" t="str">
        <f t="shared" si="3"/>
        <v>No</v>
      </c>
      <c r="AQ7" s="10" t="str">
        <f t="shared" si="4"/>
        <v>No</v>
      </c>
      <c r="AR7" s="2">
        <v>3.02</v>
      </c>
      <c r="AS7" s="2">
        <v>58.1</v>
      </c>
      <c r="AT7" s="8" t="str">
        <f t="shared" si="5"/>
        <v>No</v>
      </c>
      <c r="AU7" s="10" t="str">
        <f t="shared" si="6"/>
        <v>No</v>
      </c>
      <c r="AV7" s="2">
        <v>0.05</v>
      </c>
      <c r="AW7" s="2">
        <v>1</v>
      </c>
      <c r="AX7" s="2">
        <v>0.02</v>
      </c>
      <c r="AY7" s="2">
        <v>0.4</v>
      </c>
      <c r="AZ7" s="2">
        <v>1.77</v>
      </c>
      <c r="BA7" s="2">
        <v>34.1</v>
      </c>
      <c r="BB7" s="8" t="str">
        <f t="shared" si="7"/>
        <v>No</v>
      </c>
      <c r="BC7" s="10" t="str">
        <f t="shared" si="8"/>
        <v>No</v>
      </c>
      <c r="BD7" s="2">
        <v>0.33</v>
      </c>
      <c r="BE7" s="2">
        <v>6.4</v>
      </c>
      <c r="BF7" s="8" t="str">
        <f t="shared" si="9"/>
        <v>No</v>
      </c>
      <c r="BG7" s="10" t="str">
        <f t="shared" si="10"/>
        <v>No</v>
      </c>
      <c r="BH7" s="15">
        <f t="shared" si="11"/>
        <v>1.7062146892655368</v>
      </c>
      <c r="BI7" s="13">
        <f t="shared" si="12"/>
        <v>0.1864406779661017</v>
      </c>
      <c r="BJ7" s="2">
        <f t="shared" si="13"/>
        <v>139.54802259887006</v>
      </c>
    </row>
    <row r="8" spans="1:62" x14ac:dyDescent="0.2">
      <c r="A8" s="2" t="s">
        <v>138</v>
      </c>
      <c r="B8" s="2">
        <v>75</v>
      </c>
      <c r="C8" s="2">
        <v>29.6</v>
      </c>
      <c r="D8" s="2" t="s">
        <v>45</v>
      </c>
      <c r="E8" s="2" t="s">
        <v>48</v>
      </c>
      <c r="F8" s="2" t="s">
        <v>55</v>
      </c>
      <c r="G8" s="2">
        <v>15</v>
      </c>
      <c r="H8" s="2">
        <v>3</v>
      </c>
      <c r="I8" s="2" t="s">
        <v>59</v>
      </c>
      <c r="J8" s="2">
        <v>2</v>
      </c>
      <c r="K8" s="2" t="s">
        <v>63</v>
      </c>
      <c r="L8" s="2" t="s">
        <v>131</v>
      </c>
      <c r="M8" s="2" t="s">
        <v>130</v>
      </c>
      <c r="N8" s="2" t="s">
        <v>131</v>
      </c>
      <c r="O8" s="2" t="s">
        <v>130</v>
      </c>
      <c r="P8" s="2" t="s">
        <v>130</v>
      </c>
      <c r="Q8" s="2" t="s">
        <v>130</v>
      </c>
      <c r="R8" s="2" t="s">
        <v>130</v>
      </c>
      <c r="S8" s="2" t="s">
        <v>131</v>
      </c>
      <c r="T8" s="2" t="s">
        <v>131</v>
      </c>
      <c r="U8" s="2" t="s">
        <v>131</v>
      </c>
      <c r="V8" s="2" t="s">
        <v>7</v>
      </c>
      <c r="W8" s="2" t="s">
        <v>29</v>
      </c>
      <c r="X8" s="2" t="s">
        <v>8</v>
      </c>
      <c r="Y8" s="2" t="s">
        <v>18</v>
      </c>
      <c r="Z8" s="2" t="s">
        <v>14</v>
      </c>
      <c r="AA8" s="2" t="s">
        <v>130</v>
      </c>
      <c r="AB8" s="2" t="s">
        <v>19</v>
      </c>
      <c r="AC8" s="2">
        <v>6.9</v>
      </c>
      <c r="AD8" s="8" t="str">
        <f t="shared" si="0"/>
        <v>Yes</v>
      </c>
      <c r="AE8" s="2">
        <v>4.07</v>
      </c>
      <c r="AF8" s="2">
        <v>12.6</v>
      </c>
      <c r="AG8" s="8" t="s">
        <v>130</v>
      </c>
      <c r="AH8" s="2">
        <v>39.799999999999997</v>
      </c>
      <c r="AI8" s="2">
        <v>97.8</v>
      </c>
      <c r="AJ8" s="2">
        <v>31</v>
      </c>
      <c r="AK8" s="2">
        <v>31.7</v>
      </c>
      <c r="AL8" s="2">
        <v>289</v>
      </c>
      <c r="AM8" s="8" t="str">
        <f t="shared" si="1"/>
        <v>No</v>
      </c>
      <c r="AN8" s="10" t="str">
        <f t="shared" si="2"/>
        <v>No</v>
      </c>
      <c r="AO8" s="2">
        <v>5.33</v>
      </c>
      <c r="AP8" s="8" t="str">
        <f t="shared" si="3"/>
        <v>No</v>
      </c>
      <c r="AQ8" s="10" t="str">
        <f t="shared" si="4"/>
        <v>No</v>
      </c>
      <c r="AR8" s="2">
        <v>2.58</v>
      </c>
      <c r="AS8" s="2">
        <v>48.3</v>
      </c>
      <c r="AT8" s="8" t="str">
        <f t="shared" si="5"/>
        <v>No</v>
      </c>
      <c r="AU8" s="10" t="str">
        <f t="shared" si="6"/>
        <v>No</v>
      </c>
      <c r="AV8" s="2">
        <v>0.04</v>
      </c>
      <c r="AW8" s="2">
        <v>0.8</v>
      </c>
      <c r="AX8" s="2">
        <v>0.05</v>
      </c>
      <c r="AY8" s="2">
        <v>0.9</v>
      </c>
      <c r="AZ8" s="2">
        <v>2.2999999999999998</v>
      </c>
      <c r="BA8" s="2">
        <v>43.2</v>
      </c>
      <c r="BB8" s="8" t="str">
        <f t="shared" si="7"/>
        <v>No</v>
      </c>
      <c r="BC8" s="10" t="str">
        <f t="shared" si="8"/>
        <v>No</v>
      </c>
      <c r="BD8" s="2">
        <v>0.36</v>
      </c>
      <c r="BE8" s="2">
        <v>6.8</v>
      </c>
      <c r="BF8" s="8" t="str">
        <f t="shared" si="9"/>
        <v>No</v>
      </c>
      <c r="BG8" s="10" t="str">
        <f t="shared" si="10"/>
        <v>No</v>
      </c>
      <c r="BH8" s="15">
        <f t="shared" si="11"/>
        <v>1.1217391304347828</v>
      </c>
      <c r="BI8" s="13">
        <f t="shared" si="12"/>
        <v>0.15652173913043479</v>
      </c>
      <c r="BJ8" s="2">
        <f t="shared" si="13"/>
        <v>125.65217391304348</v>
      </c>
    </row>
    <row r="9" spans="1:62" x14ac:dyDescent="0.2">
      <c r="A9" s="2" t="s">
        <v>170</v>
      </c>
      <c r="B9" s="2">
        <v>79</v>
      </c>
      <c r="C9" s="2">
        <v>17.47</v>
      </c>
      <c r="D9" s="2" t="s">
        <v>45</v>
      </c>
      <c r="E9" s="2" t="s">
        <v>48</v>
      </c>
      <c r="F9" s="2" t="s">
        <v>55</v>
      </c>
      <c r="G9" s="2">
        <v>20</v>
      </c>
      <c r="H9" s="2">
        <v>10</v>
      </c>
      <c r="I9" s="2" t="s">
        <v>59</v>
      </c>
      <c r="J9" s="2">
        <v>9</v>
      </c>
      <c r="K9" s="2" t="s">
        <v>63</v>
      </c>
      <c r="L9" s="2" t="s">
        <v>131</v>
      </c>
      <c r="M9" s="2" t="s">
        <v>130</v>
      </c>
      <c r="N9" s="2" t="s">
        <v>131</v>
      </c>
      <c r="O9" s="2" t="s">
        <v>130</v>
      </c>
      <c r="P9" s="2" t="s">
        <v>130</v>
      </c>
      <c r="Q9" s="2" t="s">
        <v>130</v>
      </c>
      <c r="R9" s="2" t="s">
        <v>130</v>
      </c>
      <c r="S9" s="2" t="s">
        <v>131</v>
      </c>
      <c r="T9" s="2" t="s">
        <v>130</v>
      </c>
      <c r="U9" s="2" t="s">
        <v>131</v>
      </c>
      <c r="V9" s="2" t="s">
        <v>7</v>
      </c>
      <c r="W9" s="2">
        <v>60</v>
      </c>
      <c r="X9" s="2" t="s">
        <v>8</v>
      </c>
      <c r="Y9" s="2" t="s">
        <v>9</v>
      </c>
      <c r="Z9" s="2" t="s">
        <v>10</v>
      </c>
      <c r="AA9" s="2" t="s">
        <v>130</v>
      </c>
      <c r="AB9" s="2" t="s">
        <v>11</v>
      </c>
      <c r="AC9" s="2">
        <v>14.9</v>
      </c>
      <c r="AD9" s="8" t="str">
        <f t="shared" si="0"/>
        <v>Yes</v>
      </c>
      <c r="AE9" s="2">
        <v>5.04</v>
      </c>
      <c r="AF9" s="2">
        <v>14.4</v>
      </c>
      <c r="AG9" s="8" t="s">
        <v>130</v>
      </c>
      <c r="AH9" s="2">
        <v>43.9</v>
      </c>
      <c r="AI9" s="2">
        <v>87.1</v>
      </c>
      <c r="AJ9" s="2">
        <v>28.6</v>
      </c>
      <c r="AK9" s="2">
        <v>32.799999999999997</v>
      </c>
      <c r="AL9" s="2">
        <v>390</v>
      </c>
      <c r="AM9" s="8" t="str">
        <f t="shared" si="1"/>
        <v>No</v>
      </c>
      <c r="AN9" s="10" t="str">
        <f t="shared" si="2"/>
        <v>No</v>
      </c>
      <c r="AO9" s="2">
        <v>5.36</v>
      </c>
      <c r="AP9" s="8" t="str">
        <f t="shared" si="3"/>
        <v>No</v>
      </c>
      <c r="AQ9" s="10" t="str">
        <f t="shared" si="4"/>
        <v>No</v>
      </c>
      <c r="AR9" s="2">
        <v>2.89</v>
      </c>
      <c r="AS9" s="2">
        <v>53.8</v>
      </c>
      <c r="AT9" s="8" t="str">
        <f t="shared" si="5"/>
        <v>No</v>
      </c>
      <c r="AU9" s="10" t="str">
        <f t="shared" si="6"/>
        <v>No</v>
      </c>
      <c r="AV9" s="2">
        <v>0.02</v>
      </c>
      <c r="AW9" s="2">
        <v>0.4</v>
      </c>
      <c r="AX9" s="2">
        <v>0.02</v>
      </c>
      <c r="AY9" s="2">
        <v>0.4</v>
      </c>
      <c r="AZ9" s="2">
        <v>1.97</v>
      </c>
      <c r="BA9" s="2">
        <v>36.799999999999997</v>
      </c>
      <c r="BB9" s="8" t="str">
        <f t="shared" si="7"/>
        <v>No</v>
      </c>
      <c r="BC9" s="10" t="str">
        <f t="shared" si="8"/>
        <v>No</v>
      </c>
      <c r="BD9" s="2">
        <v>0.46</v>
      </c>
      <c r="BE9" s="2">
        <v>8.6</v>
      </c>
      <c r="BF9" s="8" t="str">
        <f t="shared" si="9"/>
        <v>No</v>
      </c>
      <c r="BG9" s="10" t="str">
        <f t="shared" si="10"/>
        <v>No</v>
      </c>
      <c r="BH9" s="15">
        <f t="shared" si="11"/>
        <v>1.467005076142132</v>
      </c>
      <c r="BI9" s="13">
        <f t="shared" si="12"/>
        <v>0.233502538071066</v>
      </c>
      <c r="BJ9" s="2">
        <f t="shared" si="13"/>
        <v>197.96954314720813</v>
      </c>
    </row>
    <row r="10" spans="1:62" x14ac:dyDescent="0.2">
      <c r="A10" s="2" t="s">
        <v>139</v>
      </c>
      <c r="B10" s="2">
        <v>46</v>
      </c>
      <c r="C10" s="2">
        <v>16.14</v>
      </c>
      <c r="D10" s="2" t="s">
        <v>45</v>
      </c>
      <c r="E10" s="2" t="s">
        <v>48</v>
      </c>
      <c r="F10" s="2" t="s">
        <v>55</v>
      </c>
      <c r="G10" s="2">
        <v>20</v>
      </c>
      <c r="H10" s="2">
        <v>5</v>
      </c>
      <c r="I10" s="2" t="s">
        <v>59</v>
      </c>
      <c r="J10" s="2">
        <v>5</v>
      </c>
      <c r="K10" s="2" t="s">
        <v>63</v>
      </c>
      <c r="L10" s="2" t="s">
        <v>130</v>
      </c>
      <c r="M10" s="2" t="s">
        <v>130</v>
      </c>
      <c r="N10" s="2" t="s">
        <v>131</v>
      </c>
      <c r="O10" s="2" t="s">
        <v>130</v>
      </c>
      <c r="P10" s="2" t="s">
        <v>130</v>
      </c>
      <c r="Q10" s="2" t="s">
        <v>130</v>
      </c>
      <c r="R10" s="2" t="s">
        <v>130</v>
      </c>
      <c r="S10" s="2" t="s">
        <v>131</v>
      </c>
      <c r="T10" s="2" t="s">
        <v>130</v>
      </c>
      <c r="U10" s="2" t="s">
        <v>130</v>
      </c>
      <c r="V10" s="2" t="s">
        <v>17</v>
      </c>
      <c r="W10" s="2">
        <v>40</v>
      </c>
      <c r="X10" s="2" t="s">
        <v>8</v>
      </c>
      <c r="Y10" s="2" t="s">
        <v>9</v>
      </c>
      <c r="Z10" s="2" t="s">
        <v>14</v>
      </c>
      <c r="AA10" s="2" t="s">
        <v>130</v>
      </c>
      <c r="AB10" s="2" t="s">
        <v>19</v>
      </c>
      <c r="AC10" s="2">
        <v>24.7</v>
      </c>
      <c r="AD10" s="8" t="str">
        <f t="shared" si="0"/>
        <v>Yes</v>
      </c>
      <c r="AE10" s="2">
        <v>3.5</v>
      </c>
      <c r="AF10" s="2">
        <v>13.5</v>
      </c>
      <c r="AG10" s="8" t="s">
        <v>130</v>
      </c>
      <c r="AH10" s="2">
        <v>39</v>
      </c>
      <c r="AI10" s="2">
        <v>89</v>
      </c>
      <c r="AJ10" s="2">
        <v>28.5</v>
      </c>
      <c r="AK10" s="2">
        <v>33</v>
      </c>
      <c r="AL10" s="2">
        <v>268</v>
      </c>
      <c r="AM10" s="8" t="str">
        <f t="shared" si="1"/>
        <v>No</v>
      </c>
      <c r="AN10" s="10" t="str">
        <f t="shared" si="2"/>
        <v>No</v>
      </c>
      <c r="AO10" s="2">
        <v>4.08</v>
      </c>
      <c r="AP10" s="8" t="str">
        <f t="shared" si="3"/>
        <v>No</v>
      </c>
      <c r="AQ10" s="10" t="str">
        <f t="shared" si="4"/>
        <v>No</v>
      </c>
      <c r="AR10" s="2">
        <v>3.8</v>
      </c>
      <c r="AS10" s="2">
        <v>56.8</v>
      </c>
      <c r="AT10" s="8" t="str">
        <f t="shared" si="5"/>
        <v>No</v>
      </c>
      <c r="AU10" s="10" t="str">
        <f t="shared" si="6"/>
        <v>No</v>
      </c>
      <c r="AV10" s="2">
        <v>0.13</v>
      </c>
      <c r="AW10" s="2">
        <v>2.0699999999999998</v>
      </c>
      <c r="AX10" s="2">
        <v>0.01</v>
      </c>
      <c r="AY10" s="2">
        <v>0.4</v>
      </c>
      <c r="AZ10" s="2">
        <v>3.08</v>
      </c>
      <c r="BA10" s="2">
        <v>34.1</v>
      </c>
      <c r="BB10" s="8" t="str">
        <f t="shared" si="7"/>
        <v>No</v>
      </c>
      <c r="BC10" s="10" t="str">
        <f t="shared" si="8"/>
        <v>No</v>
      </c>
      <c r="BD10" s="2">
        <v>0.36</v>
      </c>
      <c r="BE10" s="2">
        <v>6.5</v>
      </c>
      <c r="BF10" s="8" t="str">
        <f t="shared" si="9"/>
        <v>No</v>
      </c>
      <c r="BG10" s="10" t="str">
        <f t="shared" si="10"/>
        <v>No</v>
      </c>
      <c r="BH10" s="15">
        <f t="shared" si="11"/>
        <v>1.2337662337662336</v>
      </c>
      <c r="BI10" s="13">
        <f t="shared" si="12"/>
        <v>0.11688311688311688</v>
      </c>
      <c r="BJ10" s="2">
        <f t="shared" si="13"/>
        <v>87.012987012987011</v>
      </c>
    </row>
    <row r="11" spans="1:62" x14ac:dyDescent="0.2">
      <c r="A11" s="2" t="s">
        <v>140</v>
      </c>
      <c r="B11" s="2">
        <v>55</v>
      </c>
      <c r="C11" s="2">
        <v>22.49</v>
      </c>
      <c r="D11" s="2" t="s">
        <v>45</v>
      </c>
      <c r="E11" s="2" t="s">
        <v>48</v>
      </c>
      <c r="F11" s="2" t="s">
        <v>55</v>
      </c>
      <c r="G11" s="2">
        <v>21</v>
      </c>
      <c r="H11" s="2">
        <v>5</v>
      </c>
      <c r="I11" s="2" t="s">
        <v>59</v>
      </c>
      <c r="J11" s="2">
        <v>5</v>
      </c>
      <c r="K11" s="2" t="s">
        <v>63</v>
      </c>
      <c r="L11" s="2" t="s">
        <v>130</v>
      </c>
      <c r="M11" s="2" t="s">
        <v>130</v>
      </c>
      <c r="N11" s="2" t="s">
        <v>131</v>
      </c>
      <c r="O11" s="2" t="s">
        <v>130</v>
      </c>
      <c r="P11" s="2" t="s">
        <v>130</v>
      </c>
      <c r="Q11" s="2" t="s">
        <v>130</v>
      </c>
      <c r="R11" s="2" t="s">
        <v>130</v>
      </c>
      <c r="S11" s="2" t="s">
        <v>131</v>
      </c>
      <c r="T11" s="2" t="s">
        <v>130</v>
      </c>
      <c r="U11" s="2" t="s">
        <v>130</v>
      </c>
      <c r="V11" s="2" t="s">
        <v>17</v>
      </c>
      <c r="W11" s="2">
        <v>70</v>
      </c>
      <c r="X11" s="2" t="s">
        <v>8</v>
      </c>
      <c r="Y11" s="2" t="s">
        <v>9</v>
      </c>
      <c r="Z11" s="2" t="s">
        <v>10</v>
      </c>
      <c r="AA11" s="2" t="s">
        <v>131</v>
      </c>
      <c r="AB11" s="2" t="s">
        <v>11</v>
      </c>
      <c r="AC11" s="2">
        <v>250.9</v>
      </c>
      <c r="AD11" s="8" t="str">
        <f t="shared" si="0"/>
        <v>Yes</v>
      </c>
      <c r="AE11" s="2">
        <v>3.57</v>
      </c>
      <c r="AF11" s="2">
        <v>8.3000000000000007</v>
      </c>
      <c r="AG11" s="8" t="s">
        <v>131</v>
      </c>
      <c r="AH11" s="2">
        <v>28.3</v>
      </c>
      <c r="AI11" s="2">
        <v>79.3</v>
      </c>
      <c r="AJ11" s="2">
        <v>23.2</v>
      </c>
      <c r="AK11" s="2">
        <v>29.3</v>
      </c>
      <c r="AL11" s="2">
        <v>322</v>
      </c>
      <c r="AM11" s="8" t="str">
        <f t="shared" si="1"/>
        <v>No</v>
      </c>
      <c r="AN11" s="10" t="str">
        <f t="shared" si="2"/>
        <v>No</v>
      </c>
      <c r="AO11" s="2">
        <v>12.88</v>
      </c>
      <c r="AP11" s="8" t="str">
        <f t="shared" si="3"/>
        <v>Yes</v>
      </c>
      <c r="AQ11" s="10" t="str">
        <f t="shared" si="4"/>
        <v>No</v>
      </c>
      <c r="AR11" s="2">
        <v>7.93</v>
      </c>
      <c r="AS11" s="2">
        <v>61.5</v>
      </c>
      <c r="AT11" s="8" t="str">
        <f t="shared" si="5"/>
        <v>Yes</v>
      </c>
      <c r="AU11" s="10" t="str">
        <f t="shared" si="6"/>
        <v>No</v>
      </c>
      <c r="AV11" s="2">
        <v>0</v>
      </c>
      <c r="AW11" s="2">
        <v>0</v>
      </c>
      <c r="AX11" s="2">
        <v>0.02</v>
      </c>
      <c r="AY11" s="2">
        <v>0.2</v>
      </c>
      <c r="AZ11" s="2">
        <v>3.15</v>
      </c>
      <c r="BA11" s="2">
        <v>24.5</v>
      </c>
      <c r="BB11" s="8" t="str">
        <f t="shared" si="7"/>
        <v>No</v>
      </c>
      <c r="BC11" s="10" t="str">
        <f t="shared" si="8"/>
        <v>No</v>
      </c>
      <c r="BD11" s="2">
        <v>1.78</v>
      </c>
      <c r="BE11" s="2">
        <v>13.8</v>
      </c>
      <c r="BF11" s="8" t="str">
        <f t="shared" si="9"/>
        <v>Yes</v>
      </c>
      <c r="BG11" s="10" t="str">
        <f t="shared" si="10"/>
        <v>No</v>
      </c>
      <c r="BH11" s="15">
        <f t="shared" si="11"/>
        <v>2.5174603174603174</v>
      </c>
      <c r="BI11" s="13">
        <f t="shared" si="12"/>
        <v>0.56507936507936507</v>
      </c>
      <c r="BJ11" s="2">
        <f t="shared" si="13"/>
        <v>102.22222222222223</v>
      </c>
    </row>
    <row r="12" spans="1:62" x14ac:dyDescent="0.2">
      <c r="A12" s="2" t="s">
        <v>141</v>
      </c>
      <c r="B12" s="2">
        <v>30</v>
      </c>
      <c r="C12" s="2">
        <v>21.4</v>
      </c>
      <c r="D12" s="2" t="s">
        <v>45</v>
      </c>
      <c r="E12" s="2" t="s">
        <v>48</v>
      </c>
      <c r="F12" s="2" t="s">
        <v>55</v>
      </c>
      <c r="G12" s="2">
        <v>20</v>
      </c>
      <c r="H12" s="2">
        <v>3</v>
      </c>
      <c r="I12" s="2" t="s">
        <v>59</v>
      </c>
      <c r="J12" s="2">
        <v>3</v>
      </c>
      <c r="K12" s="2" t="s">
        <v>63</v>
      </c>
      <c r="L12" s="2" t="s">
        <v>130</v>
      </c>
      <c r="M12" s="2" t="s">
        <v>130</v>
      </c>
      <c r="N12" s="3" t="s">
        <v>130</v>
      </c>
      <c r="O12" s="2" t="s">
        <v>130</v>
      </c>
      <c r="P12" s="2" t="s">
        <v>130</v>
      </c>
      <c r="Q12" s="2" t="s">
        <v>130</v>
      </c>
      <c r="R12" s="2" t="s">
        <v>130</v>
      </c>
      <c r="S12" s="2" t="s">
        <v>131</v>
      </c>
      <c r="T12" s="2" t="s">
        <v>130</v>
      </c>
      <c r="U12" s="2" t="s">
        <v>130</v>
      </c>
      <c r="V12" s="2" t="s">
        <v>17</v>
      </c>
      <c r="W12" s="2">
        <v>90</v>
      </c>
      <c r="X12" s="2" t="s">
        <v>8</v>
      </c>
      <c r="Y12" s="2" t="s">
        <v>9</v>
      </c>
      <c r="Z12" s="2" t="s">
        <v>10</v>
      </c>
      <c r="AA12" s="2" t="s">
        <v>131</v>
      </c>
      <c r="AB12" s="2" t="s">
        <v>11</v>
      </c>
      <c r="AC12" s="2">
        <v>313</v>
      </c>
      <c r="AD12" s="8" t="str">
        <f t="shared" si="0"/>
        <v>Yes</v>
      </c>
      <c r="AE12" s="2">
        <v>4.5999999999999996</v>
      </c>
      <c r="AF12" s="2">
        <v>12.2</v>
      </c>
      <c r="AG12" s="8" t="s">
        <v>130</v>
      </c>
      <c r="AH12" s="2">
        <v>38</v>
      </c>
      <c r="AI12" s="2">
        <v>86</v>
      </c>
      <c r="AJ12" s="2">
        <v>26</v>
      </c>
      <c r="AK12" s="2">
        <v>32</v>
      </c>
      <c r="AL12" s="2">
        <v>280</v>
      </c>
      <c r="AM12" s="8" t="str">
        <f t="shared" si="1"/>
        <v>No</v>
      </c>
      <c r="AN12" s="10" t="str">
        <f t="shared" si="2"/>
        <v>No</v>
      </c>
      <c r="AO12" s="2">
        <v>6</v>
      </c>
      <c r="AP12" s="8" t="str">
        <f t="shared" si="3"/>
        <v>No</v>
      </c>
      <c r="AQ12" s="10" t="str">
        <f t="shared" si="4"/>
        <v>No</v>
      </c>
      <c r="AR12" s="2">
        <v>3.6</v>
      </c>
      <c r="AS12" s="2">
        <v>56.3</v>
      </c>
      <c r="AT12" s="8" t="str">
        <f t="shared" si="5"/>
        <v>No</v>
      </c>
      <c r="AU12" s="10" t="str">
        <f t="shared" si="6"/>
        <v>No</v>
      </c>
      <c r="AV12" s="2">
        <v>0.14000000000000001</v>
      </c>
      <c r="AW12" s="2">
        <v>2.0499999999999998</v>
      </c>
      <c r="AX12" s="2">
        <v>0.02</v>
      </c>
      <c r="AY12" s="2">
        <v>0.6</v>
      </c>
      <c r="AZ12" s="2">
        <v>1.7</v>
      </c>
      <c r="BA12" s="2">
        <v>33</v>
      </c>
      <c r="BB12" s="8" t="str">
        <f t="shared" si="7"/>
        <v>No</v>
      </c>
      <c r="BC12" s="10" t="str">
        <f t="shared" si="8"/>
        <v>No</v>
      </c>
      <c r="BD12" s="2">
        <v>0.56999999999999995</v>
      </c>
      <c r="BE12" s="2">
        <v>9.1999999999999993</v>
      </c>
      <c r="BF12" s="8" t="str">
        <f t="shared" si="9"/>
        <v>No</v>
      </c>
      <c r="BG12" s="10" t="str">
        <f t="shared" si="10"/>
        <v>No</v>
      </c>
      <c r="BH12" s="15">
        <f t="shared" si="11"/>
        <v>2.1176470588235294</v>
      </c>
      <c r="BI12" s="13">
        <f t="shared" si="12"/>
        <v>0.3352941176470588</v>
      </c>
      <c r="BJ12" s="2">
        <f t="shared" si="13"/>
        <v>164.70588235294119</v>
      </c>
    </row>
    <row r="13" spans="1:62" x14ac:dyDescent="0.2">
      <c r="A13" s="2" t="s">
        <v>142</v>
      </c>
      <c r="B13" s="2">
        <v>48</v>
      </c>
      <c r="C13" s="2">
        <v>24.98</v>
      </c>
      <c r="D13" s="2" t="s">
        <v>45</v>
      </c>
      <c r="E13" s="2" t="s">
        <v>48</v>
      </c>
      <c r="F13" s="2" t="s">
        <v>52</v>
      </c>
      <c r="G13" s="2">
        <v>16</v>
      </c>
      <c r="H13" s="2">
        <v>6</v>
      </c>
      <c r="I13" s="2" t="s">
        <v>59</v>
      </c>
      <c r="J13" s="2">
        <v>6</v>
      </c>
      <c r="K13" s="2" t="s">
        <v>63</v>
      </c>
      <c r="L13" s="2" t="s">
        <v>130</v>
      </c>
      <c r="M13" s="2" t="s">
        <v>130</v>
      </c>
      <c r="N13" s="2" t="s">
        <v>131</v>
      </c>
      <c r="O13" s="2" t="s">
        <v>130</v>
      </c>
      <c r="P13" s="2" t="s">
        <v>130</v>
      </c>
      <c r="Q13" s="2" t="s">
        <v>130</v>
      </c>
      <c r="R13" s="2" t="s">
        <v>130</v>
      </c>
      <c r="S13" s="2" t="s">
        <v>131</v>
      </c>
      <c r="T13" s="2" t="s">
        <v>130</v>
      </c>
      <c r="U13" s="2" t="s">
        <v>131</v>
      </c>
      <c r="V13" s="2" t="s">
        <v>7</v>
      </c>
      <c r="W13" s="2">
        <v>80</v>
      </c>
      <c r="X13" s="2" t="s">
        <v>21</v>
      </c>
      <c r="Y13" s="2" t="s">
        <v>20</v>
      </c>
      <c r="Z13" s="2" t="s">
        <v>14</v>
      </c>
      <c r="AA13" s="2" t="s">
        <v>130</v>
      </c>
      <c r="AB13" s="2" t="s">
        <v>19</v>
      </c>
      <c r="AC13" s="2">
        <v>9.1999999999999993</v>
      </c>
      <c r="AD13" s="8" t="str">
        <f t="shared" si="0"/>
        <v>Yes</v>
      </c>
      <c r="AE13" s="2">
        <v>4.5</v>
      </c>
      <c r="AF13" s="2">
        <v>11.4</v>
      </c>
      <c r="AG13" s="8" t="s">
        <v>131</v>
      </c>
      <c r="AH13" s="2">
        <v>33</v>
      </c>
      <c r="AI13" s="2">
        <v>88</v>
      </c>
      <c r="AJ13" s="2">
        <v>27.3</v>
      </c>
      <c r="AK13" s="2">
        <v>31</v>
      </c>
      <c r="AL13" s="2">
        <v>300</v>
      </c>
      <c r="AM13" s="8" t="str">
        <f t="shared" si="1"/>
        <v>No</v>
      </c>
      <c r="AN13" s="10" t="str">
        <f t="shared" si="2"/>
        <v>No</v>
      </c>
      <c r="AO13" s="2">
        <v>5.8</v>
      </c>
      <c r="AP13" s="8" t="str">
        <f t="shared" si="3"/>
        <v>No</v>
      </c>
      <c r="AQ13" s="10" t="str">
        <f t="shared" si="4"/>
        <v>No</v>
      </c>
      <c r="AR13" s="2">
        <v>3.5</v>
      </c>
      <c r="AS13" s="2">
        <v>56.4</v>
      </c>
      <c r="AT13" s="8" t="str">
        <f t="shared" si="5"/>
        <v>No</v>
      </c>
      <c r="AU13" s="10" t="str">
        <f t="shared" si="6"/>
        <v>No</v>
      </c>
      <c r="AV13" s="2">
        <v>0.15</v>
      </c>
      <c r="AW13" s="2">
        <v>2.06</v>
      </c>
      <c r="AX13" s="2">
        <v>0.02</v>
      </c>
      <c r="AY13" s="2">
        <v>0.5</v>
      </c>
      <c r="AZ13" s="2">
        <v>1.5</v>
      </c>
      <c r="BA13" s="2">
        <v>31</v>
      </c>
      <c r="BB13" s="8" t="str">
        <f t="shared" si="7"/>
        <v>No</v>
      </c>
      <c r="BC13" s="10" t="str">
        <f t="shared" si="8"/>
        <v>No</v>
      </c>
      <c r="BD13" s="2">
        <v>0.56000000000000005</v>
      </c>
      <c r="BE13" s="2">
        <v>9.5</v>
      </c>
      <c r="BF13" s="8" t="str">
        <f t="shared" si="9"/>
        <v>No</v>
      </c>
      <c r="BG13" s="10" t="str">
        <f t="shared" si="10"/>
        <v>No</v>
      </c>
      <c r="BH13" s="15">
        <f t="shared" si="11"/>
        <v>2.3333333333333335</v>
      </c>
      <c r="BI13" s="13">
        <f t="shared" si="12"/>
        <v>0.37333333333333335</v>
      </c>
      <c r="BJ13" s="2">
        <f t="shared" si="13"/>
        <v>200</v>
      </c>
    </row>
    <row r="14" spans="1:62" x14ac:dyDescent="0.2">
      <c r="A14" s="2" t="s">
        <v>143</v>
      </c>
      <c r="B14" s="2">
        <v>55</v>
      </c>
      <c r="C14" s="2">
        <v>27</v>
      </c>
      <c r="D14" s="2" t="s">
        <v>45</v>
      </c>
      <c r="E14" s="2" t="s">
        <v>48</v>
      </c>
      <c r="F14" s="2" t="s">
        <v>55</v>
      </c>
      <c r="G14" s="2">
        <v>20</v>
      </c>
      <c r="H14" s="2">
        <v>4</v>
      </c>
      <c r="I14" s="2" t="s">
        <v>59</v>
      </c>
      <c r="J14" s="2">
        <v>3</v>
      </c>
      <c r="K14" s="2" t="s">
        <v>63</v>
      </c>
      <c r="L14" s="2" t="s">
        <v>131</v>
      </c>
      <c r="M14" s="2" t="s">
        <v>130</v>
      </c>
      <c r="N14" s="2" t="s">
        <v>131</v>
      </c>
      <c r="O14" s="2" t="s">
        <v>130</v>
      </c>
      <c r="P14" s="2" t="s">
        <v>130</v>
      </c>
      <c r="Q14" s="2" t="s">
        <v>130</v>
      </c>
      <c r="R14" s="2" t="s">
        <v>130</v>
      </c>
      <c r="S14" s="2" t="s">
        <v>131</v>
      </c>
      <c r="T14" s="2" t="s">
        <v>130</v>
      </c>
      <c r="U14" s="2" t="s">
        <v>130</v>
      </c>
      <c r="V14" s="2" t="s">
        <v>7</v>
      </c>
      <c r="W14" s="2">
        <v>60</v>
      </c>
      <c r="X14" s="2" t="s">
        <v>8</v>
      </c>
      <c r="Y14" s="2" t="s">
        <v>9</v>
      </c>
      <c r="Z14" s="2" t="s">
        <v>10</v>
      </c>
      <c r="AA14" s="2" t="s">
        <v>131</v>
      </c>
      <c r="AB14" s="2" t="s">
        <v>11</v>
      </c>
      <c r="AC14" s="2">
        <v>17.100000000000001</v>
      </c>
      <c r="AD14" s="8" t="str">
        <f t="shared" si="0"/>
        <v>Yes</v>
      </c>
      <c r="AE14" s="2">
        <v>3.5</v>
      </c>
      <c r="AF14" s="2">
        <v>13.5</v>
      </c>
      <c r="AG14" s="8" t="s">
        <v>130</v>
      </c>
      <c r="AH14" s="2">
        <v>39</v>
      </c>
      <c r="AI14" s="2">
        <v>89</v>
      </c>
      <c r="AJ14" s="2">
        <v>28.5</v>
      </c>
      <c r="AK14" s="2">
        <v>33</v>
      </c>
      <c r="AL14" s="2">
        <v>268</v>
      </c>
      <c r="AM14" s="8" t="str">
        <f t="shared" si="1"/>
        <v>No</v>
      </c>
      <c r="AN14" s="10" t="str">
        <f t="shared" si="2"/>
        <v>No</v>
      </c>
      <c r="AO14" s="2">
        <v>4.08</v>
      </c>
      <c r="AP14" s="8" t="str">
        <f t="shared" si="3"/>
        <v>No</v>
      </c>
      <c r="AQ14" s="10" t="str">
        <f t="shared" si="4"/>
        <v>No</v>
      </c>
      <c r="AR14" s="2">
        <v>3.8</v>
      </c>
      <c r="AS14" s="2">
        <v>56.8</v>
      </c>
      <c r="AT14" s="8" t="str">
        <f t="shared" si="5"/>
        <v>No</v>
      </c>
      <c r="AU14" s="10" t="str">
        <f t="shared" si="6"/>
        <v>No</v>
      </c>
      <c r="AV14" s="2">
        <v>0.13</v>
      </c>
      <c r="AW14" s="2">
        <v>2.0699999999999998</v>
      </c>
      <c r="AX14" s="2">
        <v>0.01</v>
      </c>
      <c r="AY14" s="2">
        <v>0.4</v>
      </c>
      <c r="AZ14" s="2">
        <v>3.08</v>
      </c>
      <c r="BA14" s="2">
        <v>34.1</v>
      </c>
      <c r="BB14" s="8" t="str">
        <f t="shared" si="7"/>
        <v>No</v>
      </c>
      <c r="BC14" s="10" t="str">
        <f t="shared" si="8"/>
        <v>No</v>
      </c>
      <c r="BD14" s="2">
        <v>0.36</v>
      </c>
      <c r="BE14" s="2">
        <v>6.5</v>
      </c>
      <c r="BF14" s="8" t="str">
        <f t="shared" si="9"/>
        <v>No</v>
      </c>
      <c r="BG14" s="10" t="str">
        <f t="shared" si="10"/>
        <v>No</v>
      </c>
      <c r="BH14" s="15">
        <f t="shared" si="11"/>
        <v>1.2337662337662336</v>
      </c>
      <c r="BI14" s="13">
        <f t="shared" si="12"/>
        <v>0.11688311688311688</v>
      </c>
      <c r="BJ14" s="2">
        <f t="shared" si="13"/>
        <v>87.012987012987011</v>
      </c>
    </row>
    <row r="15" spans="1:62" x14ac:dyDescent="0.2">
      <c r="A15" s="2" t="s">
        <v>144</v>
      </c>
      <c r="B15" s="2">
        <v>51</v>
      </c>
      <c r="C15" s="2">
        <v>29.45</v>
      </c>
      <c r="D15" s="2" t="s">
        <v>45</v>
      </c>
      <c r="E15" s="2" t="s">
        <v>48</v>
      </c>
      <c r="F15" s="2" t="s">
        <v>52</v>
      </c>
      <c r="G15" s="2">
        <v>17</v>
      </c>
      <c r="H15" s="2">
        <v>5</v>
      </c>
      <c r="I15" s="2" t="s">
        <v>59</v>
      </c>
      <c r="J15" s="2">
        <v>5</v>
      </c>
      <c r="K15" s="2" t="s">
        <v>63</v>
      </c>
      <c r="L15" s="2" t="s">
        <v>130</v>
      </c>
      <c r="M15" s="2" t="s">
        <v>130</v>
      </c>
      <c r="N15" s="2" t="s">
        <v>131</v>
      </c>
      <c r="O15" s="2" t="s">
        <v>131</v>
      </c>
      <c r="P15" s="2" t="s">
        <v>130</v>
      </c>
      <c r="Q15" s="2" t="s">
        <v>130</v>
      </c>
      <c r="R15" s="2" t="s">
        <v>130</v>
      </c>
      <c r="S15" s="2" t="s">
        <v>131</v>
      </c>
      <c r="T15" s="2" t="s">
        <v>130</v>
      </c>
      <c r="U15" s="2" t="s">
        <v>131</v>
      </c>
      <c r="V15" s="2" t="s">
        <v>17</v>
      </c>
      <c r="W15" s="2">
        <v>60</v>
      </c>
      <c r="X15" s="2" t="s">
        <v>21</v>
      </c>
      <c r="Y15" s="2" t="s">
        <v>9</v>
      </c>
      <c r="Z15" s="2" t="s">
        <v>14</v>
      </c>
      <c r="AA15" s="2" t="s">
        <v>130</v>
      </c>
      <c r="AB15" s="2" t="s">
        <v>19</v>
      </c>
      <c r="AC15" s="2">
        <v>4.5</v>
      </c>
      <c r="AD15" s="8" t="str">
        <f t="shared" si="0"/>
        <v>No</v>
      </c>
      <c r="AE15" s="2">
        <v>4.5999999999999996</v>
      </c>
      <c r="AF15" s="2">
        <v>11.5</v>
      </c>
      <c r="AG15" s="8" t="s">
        <v>131</v>
      </c>
      <c r="AH15" s="2">
        <v>36</v>
      </c>
      <c r="AI15" s="2">
        <v>84</v>
      </c>
      <c r="AJ15" s="2">
        <v>31</v>
      </c>
      <c r="AK15" s="2">
        <v>31</v>
      </c>
      <c r="AL15" s="2">
        <v>314</v>
      </c>
      <c r="AM15" s="8" t="str">
        <f t="shared" si="1"/>
        <v>No</v>
      </c>
      <c r="AN15" s="10" t="str">
        <f t="shared" si="2"/>
        <v>No</v>
      </c>
      <c r="AO15" s="2">
        <v>5.6</v>
      </c>
      <c r="AP15" s="8" t="str">
        <f t="shared" si="3"/>
        <v>No</v>
      </c>
      <c r="AQ15" s="10" t="str">
        <f t="shared" si="4"/>
        <v>No</v>
      </c>
      <c r="AR15" s="2">
        <v>3.5</v>
      </c>
      <c r="AS15" s="2">
        <v>57</v>
      </c>
      <c r="AT15" s="8" t="str">
        <f t="shared" si="5"/>
        <v>No</v>
      </c>
      <c r="AU15" s="10" t="str">
        <f t="shared" si="6"/>
        <v>No</v>
      </c>
      <c r="AV15" s="2">
        <v>0.12</v>
      </c>
      <c r="AW15" s="2">
        <v>1.8</v>
      </c>
      <c r="AX15" s="2">
        <v>0.09</v>
      </c>
      <c r="AY15" s="2">
        <v>0.6</v>
      </c>
      <c r="AZ15" s="2">
        <v>2.5499999999999998</v>
      </c>
      <c r="BA15" s="2">
        <v>29</v>
      </c>
      <c r="BB15" s="8" t="str">
        <f t="shared" si="7"/>
        <v>No</v>
      </c>
      <c r="BC15" s="10" t="str">
        <f t="shared" si="8"/>
        <v>No</v>
      </c>
      <c r="BD15" s="2">
        <v>0.39</v>
      </c>
      <c r="BE15" s="2">
        <v>7.5</v>
      </c>
      <c r="BF15" s="8" t="str">
        <f t="shared" si="9"/>
        <v>No</v>
      </c>
      <c r="BG15" s="10" t="str">
        <f t="shared" si="10"/>
        <v>No</v>
      </c>
      <c r="BH15" s="15">
        <f t="shared" si="11"/>
        <v>1.3725490196078431</v>
      </c>
      <c r="BI15" s="13">
        <f t="shared" si="12"/>
        <v>0.15294117647058825</v>
      </c>
      <c r="BJ15" s="2">
        <f t="shared" si="13"/>
        <v>123.13725490196079</v>
      </c>
    </row>
    <row r="16" spans="1:62" x14ac:dyDescent="0.2">
      <c r="A16" s="2" t="s">
        <v>145</v>
      </c>
      <c r="B16" s="2">
        <v>54</v>
      </c>
      <c r="C16" s="2">
        <v>16.11</v>
      </c>
      <c r="D16" s="2" t="s">
        <v>45</v>
      </c>
      <c r="E16" s="2" t="s">
        <v>48</v>
      </c>
      <c r="F16" s="2" t="s">
        <v>55</v>
      </c>
      <c r="G16" s="2">
        <v>17</v>
      </c>
      <c r="H16" s="2">
        <v>14</v>
      </c>
      <c r="I16" s="2" t="s">
        <v>59</v>
      </c>
      <c r="J16" s="2">
        <v>8</v>
      </c>
      <c r="K16" s="2" t="s">
        <v>63</v>
      </c>
      <c r="L16" s="2" t="s">
        <v>131</v>
      </c>
      <c r="M16" s="2" t="s">
        <v>130</v>
      </c>
      <c r="N16" s="2" t="s">
        <v>131</v>
      </c>
      <c r="O16" s="2" t="s">
        <v>130</v>
      </c>
      <c r="P16" s="2" t="s">
        <v>130</v>
      </c>
      <c r="Q16" s="2" t="s">
        <v>130</v>
      </c>
      <c r="R16" s="2" t="s">
        <v>130</v>
      </c>
      <c r="S16" s="2" t="s">
        <v>131</v>
      </c>
      <c r="T16" s="2" t="s">
        <v>130</v>
      </c>
      <c r="U16" s="2" t="s">
        <v>130</v>
      </c>
      <c r="V16" s="2" t="s">
        <v>7</v>
      </c>
      <c r="W16" s="2">
        <v>70</v>
      </c>
      <c r="X16" s="2" t="s">
        <v>8</v>
      </c>
      <c r="Y16" s="2" t="s">
        <v>22</v>
      </c>
      <c r="Z16" s="2" t="s">
        <v>10</v>
      </c>
      <c r="AA16" s="2" t="s">
        <v>131</v>
      </c>
      <c r="AB16" s="2" t="s">
        <v>11</v>
      </c>
      <c r="AC16" s="2">
        <v>255</v>
      </c>
      <c r="AD16" s="8" t="str">
        <f t="shared" si="0"/>
        <v>Yes</v>
      </c>
      <c r="AE16" s="2">
        <v>5.4</v>
      </c>
      <c r="AF16" s="2">
        <v>12</v>
      </c>
      <c r="AG16" s="8" t="s">
        <v>130</v>
      </c>
      <c r="AH16" s="2">
        <v>40</v>
      </c>
      <c r="AI16" s="2">
        <v>85.6</v>
      </c>
      <c r="AJ16" s="2">
        <v>25</v>
      </c>
      <c r="AK16" s="2">
        <v>34</v>
      </c>
      <c r="AL16" s="2">
        <v>377</v>
      </c>
      <c r="AM16" s="8" t="str">
        <f t="shared" si="1"/>
        <v>No</v>
      </c>
      <c r="AN16" s="10" t="str">
        <f t="shared" si="2"/>
        <v>No</v>
      </c>
      <c r="AO16" s="2">
        <v>4.08</v>
      </c>
      <c r="AP16" s="8" t="str">
        <f t="shared" si="3"/>
        <v>No</v>
      </c>
      <c r="AQ16" s="10" t="str">
        <f t="shared" si="4"/>
        <v>No</v>
      </c>
      <c r="AR16" s="2">
        <v>3.2</v>
      </c>
      <c r="AS16" s="2">
        <v>58</v>
      </c>
      <c r="AT16" s="8" t="str">
        <f t="shared" si="5"/>
        <v>No</v>
      </c>
      <c r="AU16" s="10" t="str">
        <f t="shared" si="6"/>
        <v>No</v>
      </c>
      <c r="AV16" s="2">
        <v>0.1</v>
      </c>
      <c r="AW16" s="2">
        <v>2.9</v>
      </c>
      <c r="AX16" s="2">
        <v>0.05</v>
      </c>
      <c r="AY16" s="2">
        <v>0.7</v>
      </c>
      <c r="AZ16" s="2">
        <v>1.52</v>
      </c>
      <c r="BA16" s="2">
        <v>33</v>
      </c>
      <c r="BB16" s="8" t="str">
        <f t="shared" si="7"/>
        <v>No</v>
      </c>
      <c r="BC16" s="10" t="str">
        <f t="shared" si="8"/>
        <v>No</v>
      </c>
      <c r="BD16" s="2">
        <v>0.4</v>
      </c>
      <c r="BE16" s="2">
        <v>5.6</v>
      </c>
      <c r="BF16" s="8" t="str">
        <f t="shared" si="9"/>
        <v>No</v>
      </c>
      <c r="BG16" s="10" t="str">
        <f t="shared" si="10"/>
        <v>No</v>
      </c>
      <c r="BH16" s="15">
        <f t="shared" si="11"/>
        <v>2.1052631578947367</v>
      </c>
      <c r="BI16" s="13">
        <f t="shared" si="12"/>
        <v>0.26315789473684209</v>
      </c>
      <c r="BJ16" s="2">
        <f t="shared" si="13"/>
        <v>248.02631578947367</v>
      </c>
    </row>
    <row r="17" spans="1:62" x14ac:dyDescent="0.2">
      <c r="A17" s="2" t="s">
        <v>146</v>
      </c>
      <c r="B17" s="2">
        <v>44</v>
      </c>
      <c r="C17" s="2">
        <v>21.71</v>
      </c>
      <c r="D17" s="2" t="s">
        <v>45</v>
      </c>
      <c r="E17" s="2" t="s">
        <v>47</v>
      </c>
      <c r="F17" s="2" t="s">
        <v>54</v>
      </c>
      <c r="G17" s="2">
        <v>21</v>
      </c>
      <c r="H17" s="2">
        <v>9</v>
      </c>
      <c r="I17" s="2" t="s">
        <v>59</v>
      </c>
      <c r="J17" s="2">
        <v>7</v>
      </c>
      <c r="K17" s="2" t="s">
        <v>63</v>
      </c>
      <c r="L17" s="2" t="s">
        <v>131</v>
      </c>
      <c r="M17" s="2" t="s">
        <v>130</v>
      </c>
      <c r="N17" s="3" t="s">
        <v>130</v>
      </c>
      <c r="O17" s="2" t="s">
        <v>131</v>
      </c>
      <c r="P17" s="2" t="s">
        <v>131</v>
      </c>
      <c r="Q17" s="2" t="s">
        <v>130</v>
      </c>
      <c r="R17" s="2" t="s">
        <v>130</v>
      </c>
      <c r="S17" s="2" t="s">
        <v>131</v>
      </c>
      <c r="T17" s="2" t="s">
        <v>130</v>
      </c>
      <c r="U17" s="2" t="s">
        <v>131</v>
      </c>
      <c r="V17" s="2" t="s">
        <v>17</v>
      </c>
      <c r="W17" s="2">
        <v>60</v>
      </c>
      <c r="X17" s="2" t="s">
        <v>21</v>
      </c>
      <c r="Y17" s="2" t="s">
        <v>9</v>
      </c>
      <c r="Z17" s="2" t="s">
        <v>14</v>
      </c>
      <c r="AA17" s="2" t="s">
        <v>130</v>
      </c>
      <c r="AB17" s="2" t="s">
        <v>19</v>
      </c>
      <c r="AC17" s="2">
        <v>8.3000000000000007</v>
      </c>
      <c r="AD17" s="8" t="str">
        <f t="shared" si="0"/>
        <v>Yes</v>
      </c>
      <c r="AE17" s="2">
        <v>4.5</v>
      </c>
      <c r="AF17" s="2">
        <v>10.7</v>
      </c>
      <c r="AG17" s="8" t="s">
        <v>131</v>
      </c>
      <c r="AH17" s="2">
        <v>39</v>
      </c>
      <c r="AI17" s="2">
        <v>79.5</v>
      </c>
      <c r="AJ17" s="2">
        <v>26</v>
      </c>
      <c r="AK17" s="2">
        <v>30</v>
      </c>
      <c r="AL17" s="2">
        <v>268</v>
      </c>
      <c r="AM17" s="8" t="str">
        <f t="shared" si="1"/>
        <v>No</v>
      </c>
      <c r="AN17" s="10" t="str">
        <f t="shared" si="2"/>
        <v>No</v>
      </c>
      <c r="AO17" s="2">
        <v>5.21</v>
      </c>
      <c r="AP17" s="8" t="str">
        <f t="shared" si="3"/>
        <v>No</v>
      </c>
      <c r="AQ17" s="10" t="str">
        <f t="shared" si="4"/>
        <v>No</v>
      </c>
      <c r="AR17" s="2">
        <v>3.7</v>
      </c>
      <c r="AS17" s="2">
        <v>60</v>
      </c>
      <c r="AT17" s="8" t="str">
        <f t="shared" si="5"/>
        <v>No</v>
      </c>
      <c r="AU17" s="10" t="str">
        <f t="shared" si="6"/>
        <v>No</v>
      </c>
      <c r="AV17" s="2">
        <v>0.12</v>
      </c>
      <c r="AW17" s="2">
        <v>1.8</v>
      </c>
      <c r="AX17" s="2">
        <v>0.01</v>
      </c>
      <c r="AY17" s="2">
        <v>0.3</v>
      </c>
      <c r="AZ17" s="2">
        <v>1.89</v>
      </c>
      <c r="BA17" s="2">
        <v>32</v>
      </c>
      <c r="BB17" s="8" t="str">
        <f t="shared" si="7"/>
        <v>No</v>
      </c>
      <c r="BC17" s="10" t="str">
        <f t="shared" si="8"/>
        <v>No</v>
      </c>
      <c r="BD17" s="2">
        <v>0.35</v>
      </c>
      <c r="BE17" s="2">
        <v>9.1999999999999993</v>
      </c>
      <c r="BF17" s="8" t="str">
        <f t="shared" si="9"/>
        <v>No</v>
      </c>
      <c r="BG17" s="10" t="str">
        <f t="shared" si="10"/>
        <v>No</v>
      </c>
      <c r="BH17" s="15">
        <f t="shared" si="11"/>
        <v>1.9576719576719579</v>
      </c>
      <c r="BI17" s="13">
        <f t="shared" si="12"/>
        <v>0.18518518518518517</v>
      </c>
      <c r="BJ17" s="2">
        <f t="shared" si="13"/>
        <v>141.7989417989418</v>
      </c>
    </row>
    <row r="18" spans="1:62" x14ac:dyDescent="0.2">
      <c r="A18" s="2" t="s">
        <v>147</v>
      </c>
      <c r="B18" s="2">
        <v>42</v>
      </c>
      <c r="C18" s="2">
        <v>33.24</v>
      </c>
      <c r="D18" s="2" t="s">
        <v>45</v>
      </c>
      <c r="E18" s="2" t="s">
        <v>46</v>
      </c>
      <c r="F18" s="2" t="s">
        <v>52</v>
      </c>
      <c r="G18" s="2">
        <v>20</v>
      </c>
      <c r="H18" s="2">
        <v>5</v>
      </c>
      <c r="I18" s="2" t="s">
        <v>59</v>
      </c>
      <c r="J18" s="2">
        <v>4</v>
      </c>
      <c r="K18" s="2" t="s">
        <v>63</v>
      </c>
      <c r="L18" s="2" t="s">
        <v>131</v>
      </c>
      <c r="M18" s="2" t="s">
        <v>131</v>
      </c>
      <c r="N18" s="3" t="s">
        <v>130</v>
      </c>
      <c r="O18" s="2" t="s">
        <v>131</v>
      </c>
      <c r="P18" s="2" t="s">
        <v>131</v>
      </c>
      <c r="Q18" s="2" t="s">
        <v>130</v>
      </c>
      <c r="R18" s="2" t="s">
        <v>130</v>
      </c>
      <c r="S18" s="2" t="s">
        <v>131</v>
      </c>
      <c r="T18" s="2" t="s">
        <v>130</v>
      </c>
      <c r="U18" s="2" t="s">
        <v>131</v>
      </c>
      <c r="V18" s="2" t="s">
        <v>17</v>
      </c>
      <c r="W18" s="2">
        <v>20</v>
      </c>
      <c r="X18" s="2" t="s">
        <v>8</v>
      </c>
      <c r="Y18" s="2" t="s">
        <v>22</v>
      </c>
      <c r="Z18" s="2" t="s">
        <v>14</v>
      </c>
      <c r="AA18" s="2" t="s">
        <v>130</v>
      </c>
      <c r="AB18" s="2" t="s">
        <v>19</v>
      </c>
      <c r="AC18" s="2">
        <v>6.9</v>
      </c>
      <c r="AD18" s="8" t="str">
        <f t="shared" si="0"/>
        <v>Yes</v>
      </c>
      <c r="AE18" s="2">
        <v>4.5999999999999996</v>
      </c>
      <c r="AF18" s="2">
        <v>11.2</v>
      </c>
      <c r="AG18" s="8" t="s">
        <v>131</v>
      </c>
      <c r="AH18" s="2">
        <v>38</v>
      </c>
      <c r="AI18" s="2">
        <v>94</v>
      </c>
      <c r="AJ18" s="2">
        <v>27</v>
      </c>
      <c r="AK18" s="2">
        <v>32</v>
      </c>
      <c r="AL18" s="2">
        <v>376</v>
      </c>
      <c r="AM18" s="8" t="str">
        <f t="shared" si="1"/>
        <v>No</v>
      </c>
      <c r="AN18" s="10" t="str">
        <f t="shared" si="2"/>
        <v>No</v>
      </c>
      <c r="AO18" s="2">
        <v>4.08</v>
      </c>
      <c r="AP18" s="8" t="str">
        <f t="shared" si="3"/>
        <v>No</v>
      </c>
      <c r="AQ18" s="10" t="str">
        <f t="shared" si="4"/>
        <v>No</v>
      </c>
      <c r="AR18" s="2">
        <v>3.2</v>
      </c>
      <c r="AS18" s="2">
        <v>58</v>
      </c>
      <c r="AT18" s="8" t="str">
        <f t="shared" si="5"/>
        <v>No</v>
      </c>
      <c r="AU18" s="10" t="str">
        <f t="shared" si="6"/>
        <v>No</v>
      </c>
      <c r="AV18" s="2">
        <v>0.11</v>
      </c>
      <c r="AW18" s="2">
        <v>2.9</v>
      </c>
      <c r="AX18" s="2">
        <v>0.05</v>
      </c>
      <c r="AY18" s="2">
        <v>0.5</v>
      </c>
      <c r="AZ18" s="2">
        <v>1.45</v>
      </c>
      <c r="BA18" s="2">
        <v>31.9</v>
      </c>
      <c r="BB18" s="8" t="str">
        <f t="shared" si="7"/>
        <v>No</v>
      </c>
      <c r="BC18" s="10" t="str">
        <f t="shared" si="8"/>
        <v>No</v>
      </c>
      <c r="BD18" s="2">
        <v>0.36</v>
      </c>
      <c r="BE18" s="2">
        <v>6.7</v>
      </c>
      <c r="BF18" s="8" t="str">
        <f t="shared" si="9"/>
        <v>No</v>
      </c>
      <c r="BG18" s="10" t="str">
        <f t="shared" si="10"/>
        <v>No</v>
      </c>
      <c r="BH18" s="15">
        <f t="shared" si="11"/>
        <v>2.2068965517241379</v>
      </c>
      <c r="BI18" s="13">
        <f t="shared" si="12"/>
        <v>0.24827586206896551</v>
      </c>
      <c r="BJ18" s="2">
        <f t="shared" si="13"/>
        <v>259.31034482758622</v>
      </c>
    </row>
    <row r="19" spans="1:62" x14ac:dyDescent="0.2">
      <c r="A19" s="2" t="s">
        <v>148</v>
      </c>
      <c r="B19" s="2">
        <v>70</v>
      </c>
      <c r="C19" s="2">
        <v>14.96</v>
      </c>
      <c r="D19" s="2" t="s">
        <v>45</v>
      </c>
      <c r="E19" s="2" t="s">
        <v>48</v>
      </c>
      <c r="F19" s="2" t="s">
        <v>55</v>
      </c>
      <c r="G19" s="2">
        <v>16</v>
      </c>
      <c r="H19" s="2">
        <v>7</v>
      </c>
      <c r="I19" s="2" t="s">
        <v>59</v>
      </c>
      <c r="J19" s="2">
        <v>6</v>
      </c>
      <c r="K19" s="2" t="s">
        <v>63</v>
      </c>
      <c r="L19" s="2" t="s">
        <v>131</v>
      </c>
      <c r="M19" s="2" t="s">
        <v>130</v>
      </c>
      <c r="N19" s="2" t="s">
        <v>131</v>
      </c>
      <c r="O19" s="2" t="s">
        <v>130</v>
      </c>
      <c r="P19" s="2" t="s">
        <v>130</v>
      </c>
      <c r="Q19" s="2" t="s">
        <v>130</v>
      </c>
      <c r="R19" s="2" t="s">
        <v>130</v>
      </c>
      <c r="S19" s="2" t="s">
        <v>131</v>
      </c>
      <c r="T19" s="2" t="s">
        <v>130</v>
      </c>
      <c r="U19" s="2" t="s">
        <v>130</v>
      </c>
      <c r="V19" s="2" t="s">
        <v>17</v>
      </c>
      <c r="W19" s="2">
        <v>40</v>
      </c>
      <c r="X19" s="2" t="s">
        <v>8</v>
      </c>
      <c r="Y19" s="2" t="s">
        <v>9</v>
      </c>
      <c r="Z19" s="2" t="s">
        <v>14</v>
      </c>
      <c r="AA19" s="2" t="s">
        <v>130</v>
      </c>
      <c r="AB19" s="2" t="s">
        <v>19</v>
      </c>
      <c r="AC19" s="2">
        <v>0.4</v>
      </c>
      <c r="AD19" s="8" t="str">
        <f t="shared" si="0"/>
        <v>No</v>
      </c>
      <c r="AE19" s="2">
        <v>4.22</v>
      </c>
      <c r="AF19" s="2">
        <v>13.5</v>
      </c>
      <c r="AG19" s="8" t="s">
        <v>130</v>
      </c>
      <c r="AH19" s="2">
        <v>39</v>
      </c>
      <c r="AI19" s="2">
        <v>92.4</v>
      </c>
      <c r="AJ19" s="2">
        <v>32</v>
      </c>
      <c r="AK19" s="2">
        <v>34.6</v>
      </c>
      <c r="AL19" s="2">
        <v>173</v>
      </c>
      <c r="AM19" s="8" t="str">
        <f t="shared" si="1"/>
        <v>No</v>
      </c>
      <c r="AN19" s="10" t="str">
        <f t="shared" si="2"/>
        <v>No</v>
      </c>
      <c r="AO19" s="2">
        <v>3.34</v>
      </c>
      <c r="AP19" s="8" t="str">
        <f t="shared" si="3"/>
        <v>No</v>
      </c>
      <c r="AQ19" s="10" t="str">
        <f t="shared" si="4"/>
        <v>Yes</v>
      </c>
      <c r="AR19" s="2">
        <v>1.1100000000000001</v>
      </c>
      <c r="AS19" s="2">
        <v>33.299999999999997</v>
      </c>
      <c r="AT19" s="8" t="str">
        <f t="shared" si="5"/>
        <v>No</v>
      </c>
      <c r="AU19" s="10" t="str">
        <f t="shared" si="6"/>
        <v>Yes</v>
      </c>
      <c r="AV19" s="2">
        <v>0.03</v>
      </c>
      <c r="AW19" s="2">
        <v>1</v>
      </c>
      <c r="AX19" s="2">
        <v>0.09</v>
      </c>
      <c r="AY19" s="2">
        <v>2.7</v>
      </c>
      <c r="AZ19" s="2">
        <v>1.67</v>
      </c>
      <c r="BA19" s="2">
        <v>50.3</v>
      </c>
      <c r="BB19" s="8" t="str">
        <f t="shared" si="7"/>
        <v>No</v>
      </c>
      <c r="BC19" s="10" t="str">
        <f t="shared" si="8"/>
        <v>No</v>
      </c>
      <c r="BD19" s="2">
        <v>0.42</v>
      </c>
      <c r="BE19" s="2">
        <v>12.7</v>
      </c>
      <c r="BF19" s="8" t="str">
        <f t="shared" si="9"/>
        <v>No</v>
      </c>
      <c r="BG19" s="10" t="str">
        <f t="shared" si="10"/>
        <v>No</v>
      </c>
      <c r="BH19" s="15">
        <f t="shared" si="11"/>
        <v>0.66467065868263486</v>
      </c>
      <c r="BI19" s="13">
        <f t="shared" si="12"/>
        <v>0.25149700598802394</v>
      </c>
      <c r="BJ19" s="2">
        <f t="shared" si="13"/>
        <v>103.59281437125749</v>
      </c>
    </row>
    <row r="20" spans="1:62" x14ac:dyDescent="0.2">
      <c r="A20" s="2" t="s">
        <v>149</v>
      </c>
      <c r="B20" s="2">
        <v>49</v>
      </c>
      <c r="C20" s="2">
        <v>24.22</v>
      </c>
      <c r="D20" s="2" t="s">
        <v>45</v>
      </c>
      <c r="E20" s="2" t="s">
        <v>47</v>
      </c>
      <c r="F20" s="2" t="s">
        <v>52</v>
      </c>
      <c r="G20" s="2">
        <v>17</v>
      </c>
      <c r="H20" s="2">
        <v>6</v>
      </c>
      <c r="I20" s="2" t="s">
        <v>59</v>
      </c>
      <c r="J20" s="2">
        <v>5</v>
      </c>
      <c r="K20" s="2" t="s">
        <v>63</v>
      </c>
      <c r="L20" s="2" t="s">
        <v>131</v>
      </c>
      <c r="M20" s="2" t="s">
        <v>130</v>
      </c>
      <c r="N20" s="3" t="s">
        <v>130</v>
      </c>
      <c r="O20" s="2" t="s">
        <v>130</v>
      </c>
      <c r="P20" s="2" t="s">
        <v>131</v>
      </c>
      <c r="Q20" s="2" t="s">
        <v>130</v>
      </c>
      <c r="R20" s="2" t="s">
        <v>130</v>
      </c>
      <c r="S20" s="2" t="s">
        <v>131</v>
      </c>
      <c r="T20" s="2" t="s">
        <v>130</v>
      </c>
      <c r="U20" s="2" t="s">
        <v>131</v>
      </c>
      <c r="V20" s="2" t="s">
        <v>7</v>
      </c>
      <c r="W20" s="2">
        <v>40</v>
      </c>
      <c r="X20" s="2" t="s">
        <v>8</v>
      </c>
      <c r="Y20" s="2" t="s">
        <v>9</v>
      </c>
      <c r="Z20" s="2" t="s">
        <v>14</v>
      </c>
      <c r="AA20" s="2" t="s">
        <v>130</v>
      </c>
      <c r="AB20" s="2" t="s">
        <v>19</v>
      </c>
      <c r="AC20" s="2">
        <v>7.3</v>
      </c>
      <c r="AD20" s="8" t="str">
        <f t="shared" si="0"/>
        <v>Yes</v>
      </c>
      <c r="AE20" s="2">
        <v>4.82</v>
      </c>
      <c r="AF20" s="2">
        <v>11.1</v>
      </c>
      <c r="AG20" s="8" t="s">
        <v>131</v>
      </c>
      <c r="AH20" s="2">
        <v>36.1</v>
      </c>
      <c r="AI20" s="2">
        <v>74.900000000000006</v>
      </c>
      <c r="AJ20" s="2">
        <v>23</v>
      </c>
      <c r="AK20" s="2">
        <v>30.7</v>
      </c>
      <c r="AL20" s="2">
        <v>184</v>
      </c>
      <c r="AM20" s="8" t="str">
        <f t="shared" si="1"/>
        <v>No</v>
      </c>
      <c r="AN20" s="10" t="str">
        <f t="shared" si="2"/>
        <v>No</v>
      </c>
      <c r="AO20" s="2">
        <v>3.73</v>
      </c>
      <c r="AP20" s="8" t="str">
        <f t="shared" si="3"/>
        <v>No</v>
      </c>
      <c r="AQ20" s="10" t="str">
        <f t="shared" si="4"/>
        <v>Yes</v>
      </c>
      <c r="AR20" s="2">
        <v>1.8</v>
      </c>
      <c r="AS20" s="2">
        <v>48.3</v>
      </c>
      <c r="AT20" s="8" t="str">
        <f t="shared" si="5"/>
        <v>No</v>
      </c>
      <c r="AU20" s="10" t="str">
        <f t="shared" si="6"/>
        <v>Yes</v>
      </c>
      <c r="AV20" s="2">
        <v>0.12</v>
      </c>
      <c r="AW20" s="2">
        <v>3.2</v>
      </c>
      <c r="AX20" s="2">
        <v>0.02</v>
      </c>
      <c r="AY20" s="2">
        <v>0.5</v>
      </c>
      <c r="AZ20" s="2">
        <v>1.26</v>
      </c>
      <c r="BA20" s="2">
        <v>33.799999999999997</v>
      </c>
      <c r="BB20" s="8" t="str">
        <f t="shared" si="7"/>
        <v>No</v>
      </c>
      <c r="BC20" s="10" t="str">
        <f t="shared" si="8"/>
        <v>No</v>
      </c>
      <c r="BD20" s="2">
        <v>0.53</v>
      </c>
      <c r="BE20" s="2">
        <v>14.2</v>
      </c>
      <c r="BF20" s="8" t="str">
        <f t="shared" si="9"/>
        <v>No</v>
      </c>
      <c r="BG20" s="10" t="str">
        <f t="shared" si="10"/>
        <v>No</v>
      </c>
      <c r="BH20" s="15">
        <f t="shared" si="11"/>
        <v>1.4285714285714286</v>
      </c>
      <c r="BI20" s="13">
        <f t="shared" si="12"/>
        <v>0.42063492063492064</v>
      </c>
      <c r="BJ20" s="2">
        <f t="shared" si="13"/>
        <v>146.03174603174602</v>
      </c>
    </row>
    <row r="21" spans="1:62" x14ac:dyDescent="0.2">
      <c r="A21" s="2" t="s">
        <v>150</v>
      </c>
      <c r="B21" s="2">
        <v>44</v>
      </c>
      <c r="C21" s="2">
        <v>44.94</v>
      </c>
      <c r="D21" s="2" t="s">
        <v>45</v>
      </c>
      <c r="E21" s="2" t="s">
        <v>47</v>
      </c>
      <c r="F21" s="2" t="s">
        <v>55</v>
      </c>
      <c r="G21" s="2">
        <v>23</v>
      </c>
      <c r="H21" s="2">
        <v>6</v>
      </c>
      <c r="I21" s="2" t="s">
        <v>59</v>
      </c>
      <c r="J21" s="2">
        <v>5</v>
      </c>
      <c r="K21" s="2" t="s">
        <v>63</v>
      </c>
      <c r="L21" s="2" t="s">
        <v>131</v>
      </c>
      <c r="M21" s="2" t="s">
        <v>130</v>
      </c>
      <c r="N21" s="3" t="s">
        <v>130</v>
      </c>
      <c r="O21" s="2" t="s">
        <v>130</v>
      </c>
      <c r="P21" s="2" t="s">
        <v>130</v>
      </c>
      <c r="Q21" s="2" t="s">
        <v>130</v>
      </c>
      <c r="R21" s="2" t="s">
        <v>130</v>
      </c>
      <c r="S21" s="2" t="s">
        <v>131</v>
      </c>
      <c r="T21" s="2" t="s">
        <v>130</v>
      </c>
      <c r="U21" s="2" t="s">
        <v>131</v>
      </c>
      <c r="V21" s="2" t="s">
        <v>17</v>
      </c>
      <c r="W21" s="2">
        <v>80</v>
      </c>
      <c r="X21" s="2" t="s">
        <v>8</v>
      </c>
      <c r="Y21" s="2" t="s">
        <v>20</v>
      </c>
      <c r="Z21" s="2" t="s">
        <v>10</v>
      </c>
      <c r="AA21" s="2" t="s">
        <v>131</v>
      </c>
      <c r="AB21" s="2" t="s">
        <v>11</v>
      </c>
      <c r="AC21" s="2">
        <v>44.6</v>
      </c>
      <c r="AD21" s="8" t="str">
        <f t="shared" si="0"/>
        <v>Yes</v>
      </c>
      <c r="AE21" s="2">
        <v>4.83</v>
      </c>
      <c r="AF21" s="2">
        <v>13.8</v>
      </c>
      <c r="AG21" s="8" t="s">
        <v>130</v>
      </c>
      <c r="AH21" s="2">
        <v>40.4</v>
      </c>
      <c r="AI21" s="2">
        <v>83.6</v>
      </c>
      <c r="AJ21" s="2">
        <v>28.6</v>
      </c>
      <c r="AK21" s="2">
        <v>34.200000000000003</v>
      </c>
      <c r="AL21" s="2">
        <v>425</v>
      </c>
      <c r="AM21" s="8" t="str">
        <f t="shared" si="1"/>
        <v>Yes</v>
      </c>
      <c r="AN21" s="10" t="str">
        <f t="shared" si="2"/>
        <v>No</v>
      </c>
      <c r="AO21" s="2">
        <v>10.53</v>
      </c>
      <c r="AP21" s="8" t="str">
        <f t="shared" si="3"/>
        <v>Yes</v>
      </c>
      <c r="AQ21" s="10" t="str">
        <f t="shared" si="4"/>
        <v>No</v>
      </c>
      <c r="AR21" s="2">
        <v>5.56</v>
      </c>
      <c r="AS21" s="2">
        <v>52.8</v>
      </c>
      <c r="AT21" s="8" t="str">
        <f t="shared" si="5"/>
        <v>No</v>
      </c>
      <c r="AU21" s="10" t="str">
        <f t="shared" si="6"/>
        <v>No</v>
      </c>
      <c r="AV21" s="2">
        <v>1.1200000000000001</v>
      </c>
      <c r="AW21" s="2">
        <v>10.6</v>
      </c>
      <c r="AX21" s="2">
        <v>0.09</v>
      </c>
      <c r="AY21" s="2">
        <v>0.9</v>
      </c>
      <c r="AZ21" s="2">
        <v>3.08</v>
      </c>
      <c r="BA21" s="2">
        <v>29.2</v>
      </c>
      <c r="BB21" s="8" t="str">
        <f t="shared" si="7"/>
        <v>No</v>
      </c>
      <c r="BC21" s="10" t="str">
        <f t="shared" si="8"/>
        <v>No</v>
      </c>
      <c r="BD21" s="2">
        <v>0.68</v>
      </c>
      <c r="BE21" s="2">
        <v>6.5</v>
      </c>
      <c r="BF21" s="8" t="str">
        <f t="shared" si="9"/>
        <v>No</v>
      </c>
      <c r="BG21" s="10" t="str">
        <f t="shared" si="10"/>
        <v>No</v>
      </c>
      <c r="BH21" s="15">
        <f t="shared" si="11"/>
        <v>1.805194805194805</v>
      </c>
      <c r="BI21" s="13">
        <f t="shared" si="12"/>
        <v>0.2207792207792208</v>
      </c>
      <c r="BJ21" s="2">
        <f t="shared" si="13"/>
        <v>137.98701298701297</v>
      </c>
    </row>
    <row r="22" spans="1:62" x14ac:dyDescent="0.2">
      <c r="A22" s="2" t="s">
        <v>151</v>
      </c>
      <c r="B22" s="2">
        <v>40</v>
      </c>
      <c r="C22" s="2">
        <v>22.1</v>
      </c>
      <c r="D22" s="2" t="s">
        <v>45</v>
      </c>
      <c r="E22" s="2" t="s">
        <v>48</v>
      </c>
      <c r="F22" s="2" t="s">
        <v>52</v>
      </c>
      <c r="G22" s="2">
        <v>19</v>
      </c>
      <c r="H22" s="2">
        <v>2</v>
      </c>
      <c r="I22" s="2" t="s">
        <v>59</v>
      </c>
      <c r="J22" s="2">
        <v>2</v>
      </c>
      <c r="K22" s="2" t="s">
        <v>63</v>
      </c>
      <c r="L22" s="2" t="s">
        <v>130</v>
      </c>
      <c r="M22" s="2" t="s">
        <v>130</v>
      </c>
      <c r="N22" s="2" t="s">
        <v>131</v>
      </c>
      <c r="O22" s="2" t="s">
        <v>130</v>
      </c>
      <c r="P22" s="2" t="s">
        <v>130</v>
      </c>
      <c r="Q22" s="2" t="s">
        <v>130</v>
      </c>
      <c r="R22" s="2" t="s">
        <v>130</v>
      </c>
      <c r="S22" s="2" t="s">
        <v>131</v>
      </c>
      <c r="T22" s="2" t="s">
        <v>130</v>
      </c>
      <c r="U22" s="2" t="s">
        <v>130</v>
      </c>
      <c r="V22" s="2" t="s">
        <v>17</v>
      </c>
      <c r="W22" s="2">
        <v>80</v>
      </c>
      <c r="X22" s="2" t="s">
        <v>8</v>
      </c>
      <c r="Y22" s="2" t="s">
        <v>22</v>
      </c>
      <c r="Z22" s="2" t="s">
        <v>10</v>
      </c>
      <c r="AA22" s="2" t="s">
        <v>131</v>
      </c>
      <c r="AB22" s="2" t="s">
        <v>11</v>
      </c>
      <c r="AC22" s="2">
        <v>7.9</v>
      </c>
      <c r="AD22" s="8" t="str">
        <f t="shared" si="0"/>
        <v>Yes</v>
      </c>
      <c r="AE22" s="2">
        <v>4.83</v>
      </c>
      <c r="AF22" s="2">
        <v>13.8</v>
      </c>
      <c r="AG22" s="8" t="s">
        <v>130</v>
      </c>
      <c r="AH22" s="2">
        <v>40.4</v>
      </c>
      <c r="AI22" s="2">
        <v>83.6</v>
      </c>
      <c r="AJ22" s="2">
        <v>28.6</v>
      </c>
      <c r="AK22" s="2">
        <v>34.200000000000003</v>
      </c>
      <c r="AL22" s="2">
        <v>425</v>
      </c>
      <c r="AM22" s="8" t="str">
        <f t="shared" si="1"/>
        <v>Yes</v>
      </c>
      <c r="AN22" s="10" t="str">
        <f t="shared" si="2"/>
        <v>No</v>
      </c>
      <c r="AO22" s="2">
        <v>10.53</v>
      </c>
      <c r="AP22" s="8" t="str">
        <f t="shared" si="3"/>
        <v>Yes</v>
      </c>
      <c r="AQ22" s="10" t="str">
        <f t="shared" si="4"/>
        <v>No</v>
      </c>
      <c r="AR22" s="2">
        <v>5.56</v>
      </c>
      <c r="AS22" s="2">
        <v>52.8</v>
      </c>
      <c r="AT22" s="8" t="str">
        <f t="shared" si="5"/>
        <v>No</v>
      </c>
      <c r="AU22" s="10" t="str">
        <f t="shared" si="6"/>
        <v>No</v>
      </c>
      <c r="AV22" s="2">
        <v>1.1200000000000001</v>
      </c>
      <c r="AW22" s="2">
        <v>10.6</v>
      </c>
      <c r="AX22" s="2">
        <v>0.09</v>
      </c>
      <c r="AY22" s="2">
        <v>0.9</v>
      </c>
      <c r="AZ22" s="2">
        <v>3.08</v>
      </c>
      <c r="BA22" s="2">
        <v>29.2</v>
      </c>
      <c r="BB22" s="8" t="str">
        <f t="shared" si="7"/>
        <v>No</v>
      </c>
      <c r="BC22" s="10" t="str">
        <f t="shared" si="8"/>
        <v>No</v>
      </c>
      <c r="BD22" s="2">
        <v>0.68</v>
      </c>
      <c r="BE22" s="2">
        <v>6.5</v>
      </c>
      <c r="BF22" s="8" t="str">
        <f t="shared" si="9"/>
        <v>No</v>
      </c>
      <c r="BG22" s="10" t="str">
        <f t="shared" si="10"/>
        <v>No</v>
      </c>
      <c r="BH22" s="15">
        <f t="shared" si="11"/>
        <v>1.805194805194805</v>
      </c>
      <c r="BI22" s="13">
        <f t="shared" si="12"/>
        <v>0.2207792207792208</v>
      </c>
      <c r="BJ22" s="2">
        <f t="shared" si="13"/>
        <v>137.98701298701297</v>
      </c>
    </row>
    <row r="23" spans="1:62" x14ac:dyDescent="0.2">
      <c r="A23" s="2" t="s">
        <v>152</v>
      </c>
      <c r="B23" s="2">
        <v>39</v>
      </c>
      <c r="C23" s="2">
        <v>23.51</v>
      </c>
      <c r="D23" s="2" t="s">
        <v>45</v>
      </c>
      <c r="E23" s="2" t="s">
        <v>48</v>
      </c>
      <c r="F23" s="2" t="s">
        <v>55</v>
      </c>
      <c r="G23" s="2">
        <v>35</v>
      </c>
      <c r="H23" s="2">
        <v>2</v>
      </c>
      <c r="I23" s="2" t="s">
        <v>59</v>
      </c>
      <c r="J23" s="2">
        <v>1</v>
      </c>
      <c r="K23" s="2" t="s">
        <v>62</v>
      </c>
      <c r="L23" s="2" t="s">
        <v>131</v>
      </c>
      <c r="M23" s="2" t="s">
        <v>130</v>
      </c>
      <c r="N23" s="3" t="s">
        <v>130</v>
      </c>
      <c r="O23" s="2" t="s">
        <v>131</v>
      </c>
      <c r="P23" s="2" t="s">
        <v>131</v>
      </c>
      <c r="Q23" s="2" t="s">
        <v>130</v>
      </c>
      <c r="R23" s="2" t="s">
        <v>130</v>
      </c>
      <c r="S23" s="2" t="s">
        <v>131</v>
      </c>
      <c r="T23" s="2" t="s">
        <v>130</v>
      </c>
      <c r="U23" s="2" t="s">
        <v>131</v>
      </c>
      <c r="V23" s="2" t="s">
        <v>17</v>
      </c>
      <c r="W23" s="2">
        <v>90</v>
      </c>
      <c r="X23" s="2" t="s">
        <v>21</v>
      </c>
      <c r="Y23" s="2" t="s">
        <v>9</v>
      </c>
      <c r="Z23" s="2" t="s">
        <v>14</v>
      </c>
      <c r="AA23" s="2" t="s">
        <v>130</v>
      </c>
      <c r="AB23" s="2" t="s">
        <v>19</v>
      </c>
      <c r="AC23" s="2">
        <v>56.6</v>
      </c>
      <c r="AD23" s="8" t="str">
        <f t="shared" si="0"/>
        <v>Yes</v>
      </c>
      <c r="AE23" s="2">
        <v>3.79</v>
      </c>
      <c r="AF23" s="2">
        <v>9.5</v>
      </c>
      <c r="AG23" s="8" t="s">
        <v>131</v>
      </c>
      <c r="AH23" s="2">
        <v>31.6</v>
      </c>
      <c r="AI23" s="2">
        <v>83.4</v>
      </c>
      <c r="AJ23" s="2">
        <v>25.1</v>
      </c>
      <c r="AK23" s="2">
        <v>30.1</v>
      </c>
      <c r="AL23" s="2">
        <v>376</v>
      </c>
      <c r="AM23" s="8" t="str">
        <f t="shared" si="1"/>
        <v>No</v>
      </c>
      <c r="AN23" s="10" t="str">
        <f t="shared" si="2"/>
        <v>No</v>
      </c>
      <c r="AO23" s="2">
        <v>5.14</v>
      </c>
      <c r="AP23" s="8" t="str">
        <f t="shared" si="3"/>
        <v>No</v>
      </c>
      <c r="AQ23" s="10" t="str">
        <f t="shared" si="4"/>
        <v>No</v>
      </c>
      <c r="AR23" s="2">
        <v>3.64</v>
      </c>
      <c r="AS23" s="2">
        <v>70.7</v>
      </c>
      <c r="AT23" s="8" t="str">
        <f t="shared" si="5"/>
        <v>No</v>
      </c>
      <c r="AU23" s="10" t="str">
        <f t="shared" si="6"/>
        <v>No</v>
      </c>
      <c r="AV23" s="2">
        <v>0.09</v>
      </c>
      <c r="AW23" s="2">
        <v>1.8</v>
      </c>
      <c r="AX23" s="2">
        <v>0.03</v>
      </c>
      <c r="AY23" s="2">
        <v>0.6</v>
      </c>
      <c r="AZ23" s="2">
        <v>0.98</v>
      </c>
      <c r="BA23" s="2">
        <v>19.100000000000001</v>
      </c>
      <c r="BB23" s="8" t="str">
        <f t="shared" si="7"/>
        <v>No</v>
      </c>
      <c r="BC23" s="10" t="str">
        <f t="shared" si="8"/>
        <v>Yes</v>
      </c>
      <c r="BD23" s="2">
        <v>0.4</v>
      </c>
      <c r="BE23" s="2">
        <v>7.8</v>
      </c>
      <c r="BF23" s="8" t="str">
        <f t="shared" si="9"/>
        <v>No</v>
      </c>
      <c r="BG23" s="10" t="str">
        <f t="shared" si="10"/>
        <v>No</v>
      </c>
      <c r="BH23" s="15">
        <f t="shared" si="11"/>
        <v>3.7142857142857144</v>
      </c>
      <c r="BI23" s="13">
        <f t="shared" si="12"/>
        <v>0.40816326530612246</v>
      </c>
      <c r="BJ23" s="2">
        <f t="shared" si="13"/>
        <v>383.67346938775512</v>
      </c>
    </row>
    <row r="24" spans="1:62" s="14" customFormat="1" x14ac:dyDescent="0.2">
      <c r="A24" s="14" t="s">
        <v>153</v>
      </c>
      <c r="B24" s="14">
        <v>32</v>
      </c>
      <c r="C24" s="14">
        <v>22.23</v>
      </c>
      <c r="D24" s="14" t="s">
        <v>45</v>
      </c>
      <c r="E24" s="14" t="s">
        <v>48</v>
      </c>
      <c r="F24" s="14" t="s">
        <v>55</v>
      </c>
      <c r="G24" s="14">
        <v>20</v>
      </c>
      <c r="H24" s="14">
        <v>5</v>
      </c>
      <c r="I24" s="14" t="s">
        <v>59</v>
      </c>
      <c r="J24" s="14">
        <v>5</v>
      </c>
      <c r="K24" s="14" t="s">
        <v>63</v>
      </c>
      <c r="L24" s="2" t="s">
        <v>130</v>
      </c>
      <c r="M24" s="2" t="s">
        <v>131</v>
      </c>
      <c r="N24" s="3" t="s">
        <v>130</v>
      </c>
      <c r="O24" s="2" t="s">
        <v>131</v>
      </c>
      <c r="P24" s="2" t="s">
        <v>131</v>
      </c>
      <c r="Q24" s="2" t="s">
        <v>130</v>
      </c>
      <c r="R24" s="2" t="s">
        <v>130</v>
      </c>
      <c r="S24" s="2" t="s">
        <v>131</v>
      </c>
      <c r="T24" s="2" t="s">
        <v>130</v>
      </c>
      <c r="U24" s="2" t="s">
        <v>130</v>
      </c>
      <c r="V24" s="14" t="s">
        <v>7</v>
      </c>
      <c r="W24" s="14">
        <v>70</v>
      </c>
      <c r="X24" s="14" t="s">
        <v>8</v>
      </c>
      <c r="Y24" s="14" t="s">
        <v>20</v>
      </c>
      <c r="Z24" s="14" t="s">
        <v>14</v>
      </c>
      <c r="AA24" s="2" t="s">
        <v>130</v>
      </c>
      <c r="AB24" s="14" t="s">
        <v>19</v>
      </c>
      <c r="AC24" s="14">
        <v>47.2</v>
      </c>
      <c r="AD24" s="8" t="str">
        <f t="shared" si="0"/>
        <v>Yes</v>
      </c>
      <c r="AE24" s="14">
        <v>4.3099999999999996</v>
      </c>
      <c r="AF24" s="14">
        <v>11.5</v>
      </c>
      <c r="AG24" s="8" t="s">
        <v>131</v>
      </c>
      <c r="AH24" s="14">
        <v>35.700000000000003</v>
      </c>
      <c r="AI24" s="14">
        <v>82.8</v>
      </c>
      <c r="AJ24" s="14">
        <v>26.7</v>
      </c>
      <c r="AK24" s="14">
        <v>32.200000000000003</v>
      </c>
      <c r="AL24" s="14">
        <v>322</v>
      </c>
      <c r="AM24" s="8" t="str">
        <f t="shared" si="1"/>
        <v>No</v>
      </c>
      <c r="AN24" s="10" t="str">
        <f t="shared" si="2"/>
        <v>No</v>
      </c>
      <c r="AO24" s="14">
        <v>6</v>
      </c>
      <c r="AP24" s="8" t="str">
        <f t="shared" si="3"/>
        <v>No</v>
      </c>
      <c r="AQ24" s="10" t="str">
        <f t="shared" si="4"/>
        <v>No</v>
      </c>
      <c r="AR24" s="14">
        <v>3.99</v>
      </c>
      <c r="AS24" s="14">
        <v>66.5</v>
      </c>
      <c r="AT24" s="8" t="str">
        <f t="shared" si="5"/>
        <v>No</v>
      </c>
      <c r="AU24" s="10" t="str">
        <f t="shared" si="6"/>
        <v>No</v>
      </c>
      <c r="AV24" s="14">
        <v>0.11</v>
      </c>
      <c r="AW24" s="14">
        <v>1.8</v>
      </c>
      <c r="AX24" s="14">
        <v>0.01</v>
      </c>
      <c r="AY24" s="14">
        <v>0.2</v>
      </c>
      <c r="AZ24" s="14">
        <v>1.45</v>
      </c>
      <c r="BA24" s="14">
        <v>24.2</v>
      </c>
      <c r="BB24" s="8" t="str">
        <f t="shared" si="7"/>
        <v>No</v>
      </c>
      <c r="BC24" s="10" t="str">
        <f t="shared" si="8"/>
        <v>No</v>
      </c>
      <c r="BD24" s="14">
        <v>0.44</v>
      </c>
      <c r="BE24" s="14">
        <v>7.3</v>
      </c>
      <c r="BF24" s="8" t="str">
        <f t="shared" si="9"/>
        <v>No</v>
      </c>
      <c r="BG24" s="10" t="str">
        <f t="shared" si="10"/>
        <v>No</v>
      </c>
      <c r="BH24" s="16">
        <f t="shared" si="11"/>
        <v>2.7517241379310349</v>
      </c>
      <c r="BI24" s="13">
        <f t="shared" si="12"/>
        <v>0.30344827586206896</v>
      </c>
      <c r="BJ24" s="2">
        <f t="shared" si="13"/>
        <v>222.06896551724139</v>
      </c>
    </row>
    <row r="25" spans="1:62" x14ac:dyDescent="0.2">
      <c r="A25" s="2" t="s">
        <v>154</v>
      </c>
      <c r="B25" s="2">
        <v>60</v>
      </c>
      <c r="C25" s="2">
        <v>17.27</v>
      </c>
      <c r="D25" s="2" t="s">
        <v>45</v>
      </c>
      <c r="E25" s="2" t="s">
        <v>48</v>
      </c>
      <c r="F25" s="2" t="s">
        <v>52</v>
      </c>
      <c r="G25" s="2">
        <v>19</v>
      </c>
      <c r="H25" s="2">
        <v>12</v>
      </c>
      <c r="I25" s="2" t="s">
        <v>59</v>
      </c>
      <c r="J25" s="2">
        <v>9</v>
      </c>
      <c r="K25" s="2" t="s">
        <v>63</v>
      </c>
      <c r="L25" s="2" t="s">
        <v>131</v>
      </c>
      <c r="M25" s="2" t="s">
        <v>130</v>
      </c>
      <c r="N25" s="2" t="s">
        <v>131</v>
      </c>
      <c r="O25" s="2" t="s">
        <v>131</v>
      </c>
      <c r="P25" s="2" t="s">
        <v>130</v>
      </c>
      <c r="Q25" s="2" t="s">
        <v>130</v>
      </c>
      <c r="R25" s="2" t="s">
        <v>130</v>
      </c>
      <c r="S25" s="2" t="s">
        <v>131</v>
      </c>
      <c r="T25" s="2" t="s">
        <v>130</v>
      </c>
      <c r="U25" s="2" t="s">
        <v>130</v>
      </c>
      <c r="V25" s="2" t="s">
        <v>7</v>
      </c>
      <c r="W25" s="2">
        <v>80</v>
      </c>
      <c r="X25" s="2" t="s">
        <v>8</v>
      </c>
      <c r="Y25" s="2" t="s">
        <v>20</v>
      </c>
      <c r="Z25" s="2" t="s">
        <v>14</v>
      </c>
      <c r="AA25" s="2" t="s">
        <v>130</v>
      </c>
      <c r="AB25" s="2" t="s">
        <v>19</v>
      </c>
      <c r="AC25" s="2">
        <v>6.79</v>
      </c>
      <c r="AD25" s="8" t="str">
        <f t="shared" si="0"/>
        <v>Yes</v>
      </c>
      <c r="AE25" s="2">
        <v>2.62</v>
      </c>
      <c r="AF25" s="2">
        <v>7.9</v>
      </c>
      <c r="AG25" s="8" t="s">
        <v>131</v>
      </c>
      <c r="AH25" s="2">
        <v>24.8</v>
      </c>
      <c r="AI25" s="2">
        <v>94.7</v>
      </c>
      <c r="AJ25" s="2">
        <v>30.2</v>
      </c>
      <c r="AK25" s="2">
        <v>31.9</v>
      </c>
      <c r="AL25" s="2">
        <v>261</v>
      </c>
      <c r="AM25" s="8" t="str">
        <f t="shared" si="1"/>
        <v>No</v>
      </c>
      <c r="AN25" s="10" t="str">
        <f t="shared" si="2"/>
        <v>No</v>
      </c>
      <c r="AO25" s="2">
        <v>5.21</v>
      </c>
      <c r="AP25" s="8" t="str">
        <f t="shared" si="3"/>
        <v>No</v>
      </c>
      <c r="AQ25" s="10" t="str">
        <f t="shared" si="4"/>
        <v>No</v>
      </c>
      <c r="AR25" s="2">
        <v>2.97</v>
      </c>
      <c r="AS25" s="2">
        <v>57</v>
      </c>
      <c r="AT25" s="8" t="str">
        <f t="shared" si="5"/>
        <v>No</v>
      </c>
      <c r="AU25" s="10" t="str">
        <f t="shared" si="6"/>
        <v>No</v>
      </c>
      <c r="AV25" s="2">
        <v>0.15</v>
      </c>
      <c r="AW25" s="2">
        <v>2.9</v>
      </c>
      <c r="AX25" s="2">
        <v>0.02</v>
      </c>
      <c r="AY25" s="2">
        <v>0.4</v>
      </c>
      <c r="AZ25" s="2">
        <v>1.72</v>
      </c>
      <c r="BA25" s="2">
        <v>33</v>
      </c>
      <c r="BB25" s="8" t="str">
        <f t="shared" si="7"/>
        <v>No</v>
      </c>
      <c r="BC25" s="10" t="str">
        <f t="shared" si="8"/>
        <v>No</v>
      </c>
      <c r="BD25" s="2">
        <v>0.35</v>
      </c>
      <c r="BE25" s="2">
        <v>6.7</v>
      </c>
      <c r="BF25" s="8" t="str">
        <f t="shared" si="9"/>
        <v>No</v>
      </c>
      <c r="BG25" s="10" t="str">
        <f t="shared" si="10"/>
        <v>No</v>
      </c>
      <c r="BH25" s="15">
        <f t="shared" si="11"/>
        <v>1.7267441860465118</v>
      </c>
      <c r="BI25" s="13">
        <f t="shared" si="12"/>
        <v>0.20348837209302326</v>
      </c>
      <c r="BJ25" s="2">
        <f t="shared" si="13"/>
        <v>151.74418604651163</v>
      </c>
    </row>
    <row r="26" spans="1:62" x14ac:dyDescent="0.2">
      <c r="A26" s="2" t="s">
        <v>155</v>
      </c>
      <c r="B26" s="2">
        <v>45</v>
      </c>
      <c r="C26" s="2">
        <v>27.61</v>
      </c>
      <c r="D26" s="2" t="s">
        <v>45</v>
      </c>
      <c r="E26" s="2" t="s">
        <v>47</v>
      </c>
      <c r="F26" s="2" t="s">
        <v>54</v>
      </c>
      <c r="G26" s="2">
        <v>35</v>
      </c>
      <c r="H26" s="2">
        <v>6</v>
      </c>
      <c r="I26" s="2" t="s">
        <v>59</v>
      </c>
      <c r="J26" s="2">
        <v>4</v>
      </c>
      <c r="K26" s="2" t="s">
        <v>63</v>
      </c>
      <c r="L26" s="2" t="s">
        <v>131</v>
      </c>
      <c r="M26" s="2" t="s">
        <v>130</v>
      </c>
      <c r="N26" s="3" t="s">
        <v>130</v>
      </c>
      <c r="O26" s="2" t="s">
        <v>130</v>
      </c>
      <c r="P26" s="2" t="s">
        <v>131</v>
      </c>
      <c r="Q26" s="2" t="s">
        <v>130</v>
      </c>
      <c r="R26" s="2" t="s">
        <v>130</v>
      </c>
      <c r="S26" s="2" t="s">
        <v>131</v>
      </c>
      <c r="T26" s="2" t="s">
        <v>130</v>
      </c>
      <c r="U26" s="2" t="s">
        <v>130</v>
      </c>
      <c r="V26" s="2" t="s">
        <v>23</v>
      </c>
      <c r="W26" s="2">
        <v>30</v>
      </c>
      <c r="X26" s="2" t="s">
        <v>8</v>
      </c>
      <c r="Y26" s="2" t="s">
        <v>9</v>
      </c>
      <c r="Z26" s="2" t="s">
        <v>14</v>
      </c>
      <c r="AA26" s="2" t="s">
        <v>130</v>
      </c>
      <c r="AB26" s="2" t="s">
        <v>19</v>
      </c>
      <c r="AC26" s="2">
        <v>8.1</v>
      </c>
      <c r="AD26" s="8" t="str">
        <f t="shared" si="0"/>
        <v>Yes</v>
      </c>
      <c r="AE26" s="2">
        <v>4.87</v>
      </c>
      <c r="AF26" s="2">
        <v>12.6</v>
      </c>
      <c r="AG26" s="8" t="s">
        <v>130</v>
      </c>
      <c r="AH26" s="2">
        <v>40.1</v>
      </c>
      <c r="AI26" s="2">
        <v>82.3</v>
      </c>
      <c r="AJ26" s="2">
        <v>25.9</v>
      </c>
      <c r="AK26" s="2">
        <v>31.4</v>
      </c>
      <c r="AL26" s="2">
        <v>377</v>
      </c>
      <c r="AM26" s="8" t="str">
        <f t="shared" si="1"/>
        <v>No</v>
      </c>
      <c r="AN26" s="10" t="str">
        <f t="shared" si="2"/>
        <v>No</v>
      </c>
      <c r="AO26" s="2">
        <v>4.08</v>
      </c>
      <c r="AP26" s="8" t="str">
        <f t="shared" si="3"/>
        <v>No</v>
      </c>
      <c r="AQ26" s="10" t="str">
        <f t="shared" si="4"/>
        <v>No</v>
      </c>
      <c r="AR26" s="2">
        <v>1.66</v>
      </c>
      <c r="AS26" s="2">
        <v>40.799999999999997</v>
      </c>
      <c r="AT26" s="8" t="str">
        <f t="shared" si="5"/>
        <v>No</v>
      </c>
      <c r="AU26" s="10" t="str">
        <f t="shared" si="6"/>
        <v>Yes</v>
      </c>
      <c r="AV26" s="2">
        <v>0.16</v>
      </c>
      <c r="AW26" s="2">
        <v>3.9</v>
      </c>
      <c r="AX26" s="2">
        <v>0.01</v>
      </c>
      <c r="AY26" s="2">
        <v>0.2</v>
      </c>
      <c r="AZ26" s="2">
        <v>1.89</v>
      </c>
      <c r="BA26" s="2">
        <v>46.3</v>
      </c>
      <c r="BB26" s="8" t="str">
        <f t="shared" si="7"/>
        <v>No</v>
      </c>
      <c r="BC26" s="10" t="str">
        <f t="shared" si="8"/>
        <v>No</v>
      </c>
      <c r="BD26" s="2">
        <v>0.36</v>
      </c>
      <c r="BE26" s="2">
        <v>8.8000000000000007</v>
      </c>
      <c r="BF26" s="8" t="str">
        <f t="shared" si="9"/>
        <v>No</v>
      </c>
      <c r="BG26" s="10" t="str">
        <f t="shared" si="10"/>
        <v>No</v>
      </c>
      <c r="BH26" s="15">
        <f t="shared" si="11"/>
        <v>0.87830687830687826</v>
      </c>
      <c r="BI26" s="13">
        <f t="shared" si="12"/>
        <v>0.19047619047619047</v>
      </c>
      <c r="BJ26" s="2">
        <f t="shared" si="13"/>
        <v>199.47089947089947</v>
      </c>
    </row>
    <row r="27" spans="1:62" x14ac:dyDescent="0.2">
      <c r="A27" s="2" t="s">
        <v>156</v>
      </c>
      <c r="B27" s="2">
        <v>23</v>
      </c>
      <c r="C27" s="2">
        <v>23.59</v>
      </c>
      <c r="D27" s="2" t="s">
        <v>45</v>
      </c>
      <c r="E27" s="2" t="s">
        <v>48</v>
      </c>
      <c r="F27" s="2" t="s">
        <v>55</v>
      </c>
      <c r="G27" s="2">
        <v>21</v>
      </c>
      <c r="H27" s="2">
        <v>1</v>
      </c>
      <c r="I27" s="2" t="s">
        <v>60</v>
      </c>
      <c r="J27" s="2">
        <v>1</v>
      </c>
      <c r="K27" s="2" t="s">
        <v>62</v>
      </c>
      <c r="L27" s="2" t="s">
        <v>130</v>
      </c>
      <c r="M27" s="2" t="s">
        <v>131</v>
      </c>
      <c r="N27" s="3" t="s">
        <v>130</v>
      </c>
      <c r="O27" s="2" t="s">
        <v>130</v>
      </c>
      <c r="P27" s="2" t="s">
        <v>130</v>
      </c>
      <c r="Q27" s="2" t="s">
        <v>130</v>
      </c>
      <c r="R27" s="2" t="s">
        <v>130</v>
      </c>
      <c r="S27" s="2" t="s">
        <v>131</v>
      </c>
      <c r="T27" s="2" t="s">
        <v>130</v>
      </c>
      <c r="U27" s="2" t="s">
        <v>130</v>
      </c>
      <c r="V27" s="2" t="s">
        <v>17</v>
      </c>
      <c r="W27" s="2">
        <v>95</v>
      </c>
      <c r="X27" s="2" t="s">
        <v>13</v>
      </c>
      <c r="Y27" s="2" t="s">
        <v>20</v>
      </c>
      <c r="Z27" s="2" t="s">
        <v>10</v>
      </c>
      <c r="AA27" s="2" t="s">
        <v>131</v>
      </c>
      <c r="AB27" s="2" t="s">
        <v>11</v>
      </c>
      <c r="AC27" s="2">
        <v>30.2</v>
      </c>
      <c r="AD27" s="8" t="str">
        <f t="shared" si="0"/>
        <v>Yes</v>
      </c>
      <c r="AE27" s="2">
        <v>7.84</v>
      </c>
      <c r="AF27" s="2">
        <v>20.5</v>
      </c>
      <c r="AG27" s="8" t="s">
        <v>130</v>
      </c>
      <c r="AH27" s="2">
        <v>63.5</v>
      </c>
      <c r="AI27" s="2">
        <v>81</v>
      </c>
      <c r="AJ27" s="2">
        <v>26.1</v>
      </c>
      <c r="AK27" s="2">
        <v>32.299999999999997</v>
      </c>
      <c r="AL27" s="2">
        <v>268</v>
      </c>
      <c r="AM27" s="8" t="str">
        <f t="shared" si="1"/>
        <v>No</v>
      </c>
      <c r="AN27" s="10" t="str">
        <f t="shared" si="2"/>
        <v>No</v>
      </c>
      <c r="AO27" s="2">
        <v>8.58</v>
      </c>
      <c r="AP27" s="8" t="str">
        <f t="shared" si="3"/>
        <v>No</v>
      </c>
      <c r="AQ27" s="10" t="str">
        <f t="shared" si="4"/>
        <v>No</v>
      </c>
      <c r="AR27" s="2">
        <v>5.21</v>
      </c>
      <c r="AS27" s="2">
        <v>60.7</v>
      </c>
      <c r="AT27" s="8" t="str">
        <f t="shared" si="5"/>
        <v>No</v>
      </c>
      <c r="AU27" s="10" t="str">
        <f t="shared" si="6"/>
        <v>No</v>
      </c>
      <c r="AV27" s="2">
        <v>0.13</v>
      </c>
      <c r="AW27" s="2">
        <v>1.5</v>
      </c>
      <c r="AX27" s="2">
        <v>0.05</v>
      </c>
      <c r="AY27" s="2">
        <v>0.6</v>
      </c>
      <c r="AZ27" s="2">
        <v>2.5499999999999998</v>
      </c>
      <c r="BA27" s="2">
        <v>29.7</v>
      </c>
      <c r="BB27" s="8" t="str">
        <f t="shared" si="7"/>
        <v>No</v>
      </c>
      <c r="BC27" s="10" t="str">
        <f t="shared" si="8"/>
        <v>No</v>
      </c>
      <c r="BD27" s="2">
        <v>0.64</v>
      </c>
      <c r="BE27" s="2">
        <v>7.5</v>
      </c>
      <c r="BF27" s="8" t="str">
        <f t="shared" si="9"/>
        <v>No</v>
      </c>
      <c r="BG27" s="10" t="str">
        <f t="shared" si="10"/>
        <v>No</v>
      </c>
      <c r="BH27" s="15">
        <f t="shared" si="11"/>
        <v>2.0431372549019611</v>
      </c>
      <c r="BI27" s="13">
        <f t="shared" si="12"/>
        <v>0.25098039215686274</v>
      </c>
      <c r="BJ27" s="2">
        <f t="shared" si="13"/>
        <v>105.09803921568628</v>
      </c>
    </row>
    <row r="28" spans="1:62" x14ac:dyDescent="0.2">
      <c r="A28" s="2" t="s">
        <v>157</v>
      </c>
      <c r="B28" s="2">
        <v>40</v>
      </c>
      <c r="C28" s="2">
        <v>23.95</v>
      </c>
      <c r="D28" s="2" t="s">
        <v>45</v>
      </c>
      <c r="E28" s="2" t="s">
        <v>47</v>
      </c>
      <c r="F28" s="2" t="s">
        <v>55</v>
      </c>
      <c r="G28" s="2">
        <v>22</v>
      </c>
      <c r="H28" s="2">
        <v>4</v>
      </c>
      <c r="I28" s="2" t="s">
        <v>59</v>
      </c>
      <c r="J28" s="2">
        <v>3</v>
      </c>
      <c r="K28" s="2" t="s">
        <v>63</v>
      </c>
      <c r="L28" s="2" t="s">
        <v>131</v>
      </c>
      <c r="M28" s="2" t="s">
        <v>130</v>
      </c>
      <c r="N28" s="3" t="s">
        <v>130</v>
      </c>
      <c r="O28" s="2" t="s">
        <v>130</v>
      </c>
      <c r="P28" s="2" t="s">
        <v>131</v>
      </c>
      <c r="Q28" s="2" t="s">
        <v>130</v>
      </c>
      <c r="R28" s="2" t="s">
        <v>130</v>
      </c>
      <c r="S28" s="2" t="s">
        <v>131</v>
      </c>
      <c r="T28" s="2" t="s">
        <v>130</v>
      </c>
      <c r="U28" s="2" t="s">
        <v>130</v>
      </c>
      <c r="V28" s="2" t="s">
        <v>17</v>
      </c>
      <c r="W28" s="2">
        <v>80</v>
      </c>
      <c r="X28" s="2" t="s">
        <v>8</v>
      </c>
      <c r="Y28" s="2" t="s">
        <v>9</v>
      </c>
      <c r="Z28" s="2" t="s">
        <v>14</v>
      </c>
      <c r="AA28" s="2" t="s">
        <v>130</v>
      </c>
      <c r="AB28" s="2" t="s">
        <v>19</v>
      </c>
      <c r="AC28" s="2">
        <v>11.2</v>
      </c>
      <c r="AD28" s="8" t="str">
        <f t="shared" si="0"/>
        <v>Yes</v>
      </c>
      <c r="AE28" s="2">
        <v>4.84</v>
      </c>
      <c r="AF28" s="2">
        <v>11.9</v>
      </c>
      <c r="AG28" s="8" t="s">
        <v>131</v>
      </c>
      <c r="AH28" s="2">
        <v>35.799999999999997</v>
      </c>
      <c r="AI28" s="2">
        <v>74</v>
      </c>
      <c r="AJ28" s="2">
        <v>24.6</v>
      </c>
      <c r="AK28" s="2">
        <v>33.200000000000003</v>
      </c>
      <c r="AL28" s="2">
        <v>299</v>
      </c>
      <c r="AM28" s="8" t="str">
        <f t="shared" si="1"/>
        <v>No</v>
      </c>
      <c r="AN28" s="10" t="str">
        <f t="shared" si="2"/>
        <v>No</v>
      </c>
      <c r="AO28" s="2">
        <v>4.32</v>
      </c>
      <c r="AP28" s="8" t="str">
        <f t="shared" si="3"/>
        <v>No</v>
      </c>
      <c r="AQ28" s="10" t="str">
        <f t="shared" si="4"/>
        <v>No</v>
      </c>
      <c r="AR28" s="2">
        <v>2.35</v>
      </c>
      <c r="AS28" s="2">
        <v>54.4</v>
      </c>
      <c r="AT28" s="8" t="str">
        <f t="shared" si="5"/>
        <v>No</v>
      </c>
      <c r="AU28" s="10" t="str">
        <f t="shared" si="6"/>
        <v>No</v>
      </c>
      <c r="AV28" s="2">
        <v>0.04</v>
      </c>
      <c r="AW28" s="2">
        <v>0.9</v>
      </c>
      <c r="AX28" s="2">
        <v>0.04</v>
      </c>
      <c r="AY28" s="2">
        <v>0.9</v>
      </c>
      <c r="AZ28" s="2">
        <v>1.35</v>
      </c>
      <c r="BA28" s="2">
        <v>31.3</v>
      </c>
      <c r="BB28" s="8" t="str">
        <f t="shared" si="7"/>
        <v>No</v>
      </c>
      <c r="BC28" s="10" t="str">
        <f t="shared" si="8"/>
        <v>No</v>
      </c>
      <c r="BD28" s="2">
        <v>0.54</v>
      </c>
      <c r="BE28" s="2">
        <v>12.5</v>
      </c>
      <c r="BF28" s="8" t="str">
        <f t="shared" si="9"/>
        <v>No</v>
      </c>
      <c r="BG28" s="10" t="str">
        <f t="shared" si="10"/>
        <v>No</v>
      </c>
      <c r="BH28" s="15">
        <f t="shared" si="11"/>
        <v>1.7407407407407407</v>
      </c>
      <c r="BI28" s="13">
        <f t="shared" si="12"/>
        <v>0.4</v>
      </c>
      <c r="BJ28" s="2">
        <f t="shared" si="13"/>
        <v>221.48148148148147</v>
      </c>
    </row>
    <row r="29" spans="1:62" x14ac:dyDescent="0.2">
      <c r="A29" s="2" t="s">
        <v>158</v>
      </c>
      <c r="B29" s="2">
        <v>30</v>
      </c>
      <c r="C29" s="2">
        <v>16.41</v>
      </c>
      <c r="D29" s="2" t="s">
        <v>45</v>
      </c>
      <c r="E29" s="2" t="s">
        <v>48</v>
      </c>
      <c r="F29" s="2" t="s">
        <v>54</v>
      </c>
      <c r="G29" s="2">
        <v>16</v>
      </c>
      <c r="H29" s="2">
        <v>1</v>
      </c>
      <c r="I29" s="2" t="s">
        <v>60</v>
      </c>
      <c r="J29" s="2">
        <v>0</v>
      </c>
      <c r="K29" s="2" t="s">
        <v>64</v>
      </c>
      <c r="L29" s="2" t="s">
        <v>131</v>
      </c>
      <c r="M29" s="2" t="s">
        <v>130</v>
      </c>
      <c r="N29" s="3" t="s">
        <v>130</v>
      </c>
      <c r="O29" s="2" t="s">
        <v>131</v>
      </c>
      <c r="P29" s="2" t="s">
        <v>130</v>
      </c>
      <c r="Q29" s="2" t="s">
        <v>130</v>
      </c>
      <c r="R29" s="2" t="s">
        <v>130</v>
      </c>
      <c r="S29" s="2" t="s">
        <v>131</v>
      </c>
      <c r="T29" s="2" t="s">
        <v>130</v>
      </c>
      <c r="U29" s="2" t="s">
        <v>130</v>
      </c>
      <c r="V29" s="2" t="s">
        <v>17</v>
      </c>
      <c r="W29" s="2">
        <v>30</v>
      </c>
      <c r="X29" s="2" t="s">
        <v>8</v>
      </c>
      <c r="Y29" s="2" t="s">
        <v>9</v>
      </c>
      <c r="Z29" s="2" t="s">
        <v>10</v>
      </c>
      <c r="AA29" s="2" t="s">
        <v>131</v>
      </c>
      <c r="AB29" s="2" t="s">
        <v>11</v>
      </c>
      <c r="AC29" s="2">
        <v>13.8</v>
      </c>
      <c r="AD29" s="8" t="str">
        <f t="shared" si="0"/>
        <v>Yes</v>
      </c>
      <c r="AE29" s="2">
        <v>3.96</v>
      </c>
      <c r="AF29" s="2">
        <v>12.6</v>
      </c>
      <c r="AG29" s="8" t="s">
        <v>130</v>
      </c>
      <c r="AH29" s="2">
        <v>37.700000000000003</v>
      </c>
      <c r="AI29" s="2">
        <v>95.2</v>
      </c>
      <c r="AJ29" s="2">
        <v>31.8</v>
      </c>
      <c r="AK29" s="2">
        <v>33.4</v>
      </c>
      <c r="AL29" s="2">
        <v>315</v>
      </c>
      <c r="AM29" s="8" t="str">
        <f t="shared" si="1"/>
        <v>No</v>
      </c>
      <c r="AN29" s="10" t="str">
        <f t="shared" si="2"/>
        <v>No</v>
      </c>
      <c r="AO29" s="2">
        <v>5.6</v>
      </c>
      <c r="AP29" s="8" t="str">
        <f t="shared" si="3"/>
        <v>No</v>
      </c>
      <c r="AQ29" s="10" t="str">
        <f t="shared" si="4"/>
        <v>No</v>
      </c>
      <c r="AR29" s="2">
        <v>3.3</v>
      </c>
      <c r="AS29" s="2">
        <v>58.9</v>
      </c>
      <c r="AT29" s="8" t="str">
        <f t="shared" si="5"/>
        <v>No</v>
      </c>
      <c r="AU29" s="10" t="str">
        <f t="shared" si="6"/>
        <v>No</v>
      </c>
      <c r="AV29" s="2">
        <v>0.11</v>
      </c>
      <c r="AW29" s="2">
        <v>2</v>
      </c>
      <c r="AX29" s="2">
        <v>0.04</v>
      </c>
      <c r="AY29" s="2">
        <v>0.7</v>
      </c>
      <c r="AZ29" s="2">
        <v>1.45</v>
      </c>
      <c r="BA29" s="2">
        <v>25.9</v>
      </c>
      <c r="BB29" s="8" t="str">
        <f t="shared" si="7"/>
        <v>No</v>
      </c>
      <c r="BC29" s="10" t="str">
        <f t="shared" si="8"/>
        <v>No</v>
      </c>
      <c r="BD29" s="2">
        <v>0.7</v>
      </c>
      <c r="BE29" s="2">
        <v>12.5</v>
      </c>
      <c r="BF29" s="8" t="str">
        <f t="shared" si="9"/>
        <v>No</v>
      </c>
      <c r="BG29" s="10" t="str">
        <f t="shared" si="10"/>
        <v>No</v>
      </c>
      <c r="BH29" s="15">
        <f t="shared" si="11"/>
        <v>2.2758620689655173</v>
      </c>
      <c r="BI29" s="13">
        <f t="shared" si="12"/>
        <v>0.48275862068965514</v>
      </c>
      <c r="BJ29" s="2">
        <f t="shared" si="13"/>
        <v>217.24137931034483</v>
      </c>
    </row>
    <row r="30" spans="1:62" x14ac:dyDescent="0.2">
      <c r="A30" s="2" t="s">
        <v>159</v>
      </c>
      <c r="B30" s="2">
        <v>70</v>
      </c>
      <c r="C30" s="2">
        <v>19.37</v>
      </c>
      <c r="D30" s="2" t="s">
        <v>45</v>
      </c>
      <c r="E30" s="2" t="s">
        <v>48</v>
      </c>
      <c r="F30" s="2" t="s">
        <v>55</v>
      </c>
      <c r="G30" s="2">
        <v>19</v>
      </c>
      <c r="H30" s="2">
        <v>8</v>
      </c>
      <c r="I30" s="2" t="s">
        <v>59</v>
      </c>
      <c r="J30" s="2">
        <v>7</v>
      </c>
      <c r="K30" s="2" t="s">
        <v>63</v>
      </c>
      <c r="L30" s="2" t="s">
        <v>131</v>
      </c>
      <c r="M30" s="2" t="s">
        <v>130</v>
      </c>
      <c r="N30" s="2" t="s">
        <v>131</v>
      </c>
      <c r="O30" s="2" t="s">
        <v>130</v>
      </c>
      <c r="P30" s="2" t="s">
        <v>131</v>
      </c>
      <c r="Q30" s="2" t="s">
        <v>130</v>
      </c>
      <c r="R30" s="2" t="s">
        <v>130</v>
      </c>
      <c r="S30" s="2" t="s">
        <v>131</v>
      </c>
      <c r="T30" s="2" t="s">
        <v>130</v>
      </c>
      <c r="U30" s="2" t="s">
        <v>130</v>
      </c>
      <c r="V30" s="2" t="s">
        <v>7</v>
      </c>
      <c r="W30" s="2">
        <v>80</v>
      </c>
      <c r="X30" s="2" t="s">
        <v>8</v>
      </c>
      <c r="Y30" s="2" t="s">
        <v>9</v>
      </c>
      <c r="Z30" s="2" t="s">
        <v>10</v>
      </c>
      <c r="AA30" s="2" t="s">
        <v>131</v>
      </c>
      <c r="AB30" s="2" t="s">
        <v>11</v>
      </c>
      <c r="AC30" s="2">
        <v>1.3</v>
      </c>
      <c r="AD30" s="8" t="str">
        <f t="shared" si="0"/>
        <v>No</v>
      </c>
      <c r="AE30" s="2">
        <v>4.37</v>
      </c>
      <c r="AF30" s="2">
        <v>12.1</v>
      </c>
      <c r="AG30" s="8" t="s">
        <v>130</v>
      </c>
      <c r="AH30" s="2">
        <v>38</v>
      </c>
      <c r="AI30" s="2">
        <v>87</v>
      </c>
      <c r="AJ30" s="2">
        <v>27.7</v>
      </c>
      <c r="AK30" s="2">
        <v>31.8</v>
      </c>
      <c r="AL30" s="2">
        <v>261</v>
      </c>
      <c r="AM30" s="8" t="str">
        <f t="shared" si="1"/>
        <v>No</v>
      </c>
      <c r="AN30" s="10" t="str">
        <f t="shared" si="2"/>
        <v>No</v>
      </c>
      <c r="AO30" s="2">
        <v>4.54</v>
      </c>
      <c r="AP30" s="8" t="str">
        <f t="shared" si="3"/>
        <v>No</v>
      </c>
      <c r="AQ30" s="10" t="str">
        <f t="shared" si="4"/>
        <v>No</v>
      </c>
      <c r="AR30" s="2">
        <v>2.5099999999999998</v>
      </c>
      <c r="AS30" s="2">
        <v>55.2</v>
      </c>
      <c r="AT30" s="8" t="str">
        <f t="shared" si="5"/>
        <v>No</v>
      </c>
      <c r="AU30" s="10" t="str">
        <f t="shared" si="6"/>
        <v>No</v>
      </c>
      <c r="AV30" s="2">
        <v>0.08</v>
      </c>
      <c r="AW30" s="2">
        <v>0.9</v>
      </c>
      <c r="AX30" s="2">
        <v>0.04</v>
      </c>
      <c r="AY30" s="2">
        <v>0.9</v>
      </c>
      <c r="AZ30" s="2">
        <v>1.52</v>
      </c>
      <c r="BA30" s="2">
        <v>33.5</v>
      </c>
      <c r="BB30" s="8" t="str">
        <f t="shared" si="7"/>
        <v>No</v>
      </c>
      <c r="BC30" s="10" t="str">
        <f t="shared" si="8"/>
        <v>No</v>
      </c>
      <c r="BD30" s="2">
        <v>0.39</v>
      </c>
      <c r="BE30" s="2">
        <v>8.6</v>
      </c>
      <c r="BF30" s="8" t="str">
        <f t="shared" si="9"/>
        <v>No</v>
      </c>
      <c r="BG30" s="10" t="str">
        <f t="shared" si="10"/>
        <v>No</v>
      </c>
      <c r="BH30" s="15">
        <f t="shared" si="11"/>
        <v>1.6513157894736841</v>
      </c>
      <c r="BI30" s="13">
        <f t="shared" si="12"/>
        <v>0.25657894736842107</v>
      </c>
      <c r="BJ30" s="2">
        <f t="shared" si="13"/>
        <v>171.71052631578948</v>
      </c>
    </row>
    <row r="31" spans="1:62" x14ac:dyDescent="0.2">
      <c r="A31" s="2" t="s">
        <v>160</v>
      </c>
      <c r="B31" s="2">
        <v>48</v>
      </c>
      <c r="C31" s="2">
        <v>24.22</v>
      </c>
      <c r="D31" s="2" t="s">
        <v>45</v>
      </c>
      <c r="E31" s="2" t="s">
        <v>48</v>
      </c>
      <c r="F31" s="2" t="s">
        <v>52</v>
      </c>
      <c r="G31" s="2">
        <v>18</v>
      </c>
      <c r="H31" s="2">
        <v>7</v>
      </c>
      <c r="I31" s="2" t="s">
        <v>59</v>
      </c>
      <c r="J31" s="2">
        <v>5</v>
      </c>
      <c r="K31" s="2" t="s">
        <v>63</v>
      </c>
      <c r="L31" s="2" t="s">
        <v>131</v>
      </c>
      <c r="M31" s="2" t="s">
        <v>130</v>
      </c>
      <c r="N31" s="2" t="s">
        <v>131</v>
      </c>
      <c r="O31" s="2" t="s">
        <v>130</v>
      </c>
      <c r="P31" s="2" t="s">
        <v>130</v>
      </c>
      <c r="Q31" s="2" t="s">
        <v>130</v>
      </c>
      <c r="R31" s="2" t="s">
        <v>130</v>
      </c>
      <c r="S31" s="2" t="s">
        <v>131</v>
      </c>
      <c r="T31" s="2" t="s">
        <v>130</v>
      </c>
      <c r="U31" s="2" t="s">
        <v>131</v>
      </c>
      <c r="V31" s="2" t="s">
        <v>7</v>
      </c>
      <c r="W31" s="2">
        <v>95</v>
      </c>
      <c r="X31" s="2" t="s">
        <v>21</v>
      </c>
      <c r="Y31" s="2" t="s">
        <v>20</v>
      </c>
      <c r="Z31" s="2" t="s">
        <v>10</v>
      </c>
      <c r="AA31" s="2" t="s">
        <v>131</v>
      </c>
      <c r="AB31" s="2" t="s">
        <v>11</v>
      </c>
      <c r="AC31" s="2">
        <v>6.04</v>
      </c>
      <c r="AD31" s="8" t="str">
        <f t="shared" si="0"/>
        <v>Yes</v>
      </c>
      <c r="AE31" s="2">
        <v>3.5</v>
      </c>
      <c r="AF31" s="2">
        <v>13.5</v>
      </c>
      <c r="AG31" s="8" t="s">
        <v>130</v>
      </c>
      <c r="AH31" s="2">
        <v>39</v>
      </c>
      <c r="AI31" s="2">
        <v>89</v>
      </c>
      <c r="AJ31" s="2">
        <v>28.5</v>
      </c>
      <c r="AK31" s="2">
        <v>33</v>
      </c>
      <c r="AL31" s="2">
        <v>268</v>
      </c>
      <c r="AM31" s="8" t="str">
        <f t="shared" si="1"/>
        <v>No</v>
      </c>
      <c r="AN31" s="10" t="str">
        <f t="shared" si="2"/>
        <v>No</v>
      </c>
      <c r="AO31" s="2">
        <v>4.08</v>
      </c>
      <c r="AP31" s="8" t="str">
        <f t="shared" si="3"/>
        <v>No</v>
      </c>
      <c r="AQ31" s="10" t="str">
        <f t="shared" si="4"/>
        <v>No</v>
      </c>
      <c r="AR31" s="2">
        <v>3.8</v>
      </c>
      <c r="AS31" s="2">
        <v>56.8</v>
      </c>
      <c r="AT31" s="8" t="str">
        <f t="shared" si="5"/>
        <v>No</v>
      </c>
      <c r="AU31" s="10" t="str">
        <f t="shared" si="6"/>
        <v>No</v>
      </c>
      <c r="AV31" s="2">
        <v>0.13</v>
      </c>
      <c r="AW31" s="2">
        <v>2.0699999999999998</v>
      </c>
      <c r="AX31" s="2">
        <v>0.01</v>
      </c>
      <c r="AY31" s="2">
        <v>0.4</v>
      </c>
      <c r="AZ31" s="2">
        <v>3.08</v>
      </c>
      <c r="BA31" s="2">
        <v>34.1</v>
      </c>
      <c r="BB31" s="8" t="str">
        <f t="shared" si="7"/>
        <v>No</v>
      </c>
      <c r="BC31" s="10" t="str">
        <f t="shared" si="8"/>
        <v>No</v>
      </c>
      <c r="BD31" s="2">
        <v>0.36</v>
      </c>
      <c r="BE31" s="2">
        <v>6.5</v>
      </c>
      <c r="BF31" s="8" t="str">
        <f t="shared" si="9"/>
        <v>No</v>
      </c>
      <c r="BG31" s="10" t="str">
        <f t="shared" si="10"/>
        <v>No</v>
      </c>
      <c r="BH31" s="15">
        <f t="shared" si="11"/>
        <v>1.2337662337662336</v>
      </c>
      <c r="BI31" s="13">
        <f t="shared" si="12"/>
        <v>0.11688311688311688</v>
      </c>
      <c r="BJ31" s="2">
        <f t="shared" si="13"/>
        <v>87.012987012987011</v>
      </c>
    </row>
    <row r="32" spans="1:62" x14ac:dyDescent="0.2">
      <c r="A32" s="2" t="s">
        <v>161</v>
      </c>
      <c r="B32" s="2">
        <v>27</v>
      </c>
      <c r="C32" s="2">
        <v>30.75</v>
      </c>
      <c r="D32" s="2" t="s">
        <v>45</v>
      </c>
      <c r="E32" s="2" t="s">
        <v>48</v>
      </c>
      <c r="F32" s="2" t="s">
        <v>55</v>
      </c>
      <c r="G32" s="2">
        <v>21</v>
      </c>
      <c r="H32" s="2">
        <v>3</v>
      </c>
      <c r="I32" s="2" t="s">
        <v>59</v>
      </c>
      <c r="J32" s="2">
        <v>3</v>
      </c>
      <c r="K32" s="2" t="s">
        <v>63</v>
      </c>
      <c r="L32" s="2" t="s">
        <v>130</v>
      </c>
      <c r="M32" s="2" t="s">
        <v>130</v>
      </c>
      <c r="N32" s="3" t="s">
        <v>130</v>
      </c>
      <c r="O32" s="2" t="s">
        <v>130</v>
      </c>
      <c r="P32" s="2" t="s">
        <v>131</v>
      </c>
      <c r="Q32" s="2" t="s">
        <v>130</v>
      </c>
      <c r="R32" s="2" t="s">
        <v>130</v>
      </c>
      <c r="S32" s="2" t="s">
        <v>131</v>
      </c>
      <c r="T32" s="2" t="s">
        <v>130</v>
      </c>
      <c r="U32" s="2" t="s">
        <v>130</v>
      </c>
      <c r="V32" s="2" t="s">
        <v>17</v>
      </c>
      <c r="W32" s="2">
        <v>90</v>
      </c>
      <c r="X32" s="2" t="s">
        <v>8</v>
      </c>
      <c r="Y32" s="2" t="s">
        <v>22</v>
      </c>
      <c r="Z32" s="2" t="s">
        <v>14</v>
      </c>
      <c r="AA32" s="2" t="s">
        <v>130</v>
      </c>
      <c r="AB32" s="2" t="s">
        <v>19</v>
      </c>
      <c r="AC32" s="2">
        <v>70.5</v>
      </c>
      <c r="AD32" s="8" t="str">
        <f t="shared" si="0"/>
        <v>Yes</v>
      </c>
      <c r="AE32" s="2">
        <v>4.45</v>
      </c>
      <c r="AF32" s="2">
        <v>12.6</v>
      </c>
      <c r="AG32" s="8" t="s">
        <v>130</v>
      </c>
      <c r="AH32" s="2">
        <v>36.200000000000003</v>
      </c>
      <c r="AI32" s="2">
        <v>81.5</v>
      </c>
      <c r="AJ32" s="2">
        <v>28.3</v>
      </c>
      <c r="AK32" s="2">
        <v>34.700000000000003</v>
      </c>
      <c r="AL32" s="2">
        <v>585</v>
      </c>
      <c r="AM32" s="8" t="str">
        <f t="shared" si="1"/>
        <v>Yes</v>
      </c>
      <c r="AN32" s="10" t="str">
        <f t="shared" si="2"/>
        <v>No</v>
      </c>
      <c r="AO32" s="2">
        <v>4.08</v>
      </c>
      <c r="AP32" s="8" t="str">
        <f t="shared" si="3"/>
        <v>No</v>
      </c>
      <c r="AQ32" s="10" t="str">
        <f t="shared" si="4"/>
        <v>No</v>
      </c>
      <c r="AR32" s="2">
        <v>6.6</v>
      </c>
      <c r="AS32" s="2">
        <v>69.5</v>
      </c>
      <c r="AT32" s="8" t="str">
        <f t="shared" si="5"/>
        <v>No</v>
      </c>
      <c r="AU32" s="10" t="str">
        <f t="shared" si="6"/>
        <v>No</v>
      </c>
      <c r="AV32" s="2">
        <v>0.27</v>
      </c>
      <c r="AW32" s="2">
        <v>2.8</v>
      </c>
      <c r="AX32" s="2">
        <v>0.06</v>
      </c>
      <c r="AY32" s="2">
        <v>0.6</v>
      </c>
      <c r="AZ32" s="2">
        <v>1.77</v>
      </c>
      <c r="BA32" s="2">
        <v>18.600000000000001</v>
      </c>
      <c r="BB32" s="8" t="str">
        <f t="shared" si="7"/>
        <v>No</v>
      </c>
      <c r="BC32" s="10" t="str">
        <f t="shared" si="8"/>
        <v>No</v>
      </c>
      <c r="BD32" s="2">
        <v>0.81</v>
      </c>
      <c r="BE32" s="2">
        <v>8.5</v>
      </c>
      <c r="BF32" s="8" t="str">
        <f t="shared" si="9"/>
        <v>No</v>
      </c>
      <c r="BG32" s="10" t="str">
        <f t="shared" si="10"/>
        <v>No</v>
      </c>
      <c r="BH32" s="15">
        <f t="shared" si="11"/>
        <v>3.7288135593220337</v>
      </c>
      <c r="BI32" s="13">
        <f t="shared" si="12"/>
        <v>0.4576271186440678</v>
      </c>
      <c r="BJ32" s="2">
        <f t="shared" si="13"/>
        <v>330.50847457627117</v>
      </c>
    </row>
    <row r="33" spans="1:62" x14ac:dyDescent="0.2">
      <c r="A33" s="2" t="s">
        <v>162</v>
      </c>
      <c r="B33" s="2">
        <v>53</v>
      </c>
      <c r="C33" s="2">
        <v>18.37</v>
      </c>
      <c r="D33" s="2" t="s">
        <v>45</v>
      </c>
      <c r="E33" s="2" t="s">
        <v>48</v>
      </c>
      <c r="F33" s="2" t="s">
        <v>55</v>
      </c>
      <c r="G33" s="2">
        <v>20</v>
      </c>
      <c r="H33" s="2">
        <v>6</v>
      </c>
      <c r="I33" s="2" t="s">
        <v>59</v>
      </c>
      <c r="J33" s="2">
        <v>5</v>
      </c>
      <c r="K33" s="2" t="s">
        <v>63</v>
      </c>
      <c r="L33" s="2" t="s">
        <v>130</v>
      </c>
      <c r="M33" s="2" t="s">
        <v>130</v>
      </c>
      <c r="N33" s="3" t="s">
        <v>130</v>
      </c>
      <c r="O33" s="2" t="s">
        <v>130</v>
      </c>
      <c r="P33" s="2" t="s">
        <v>130</v>
      </c>
      <c r="Q33" s="2" t="s">
        <v>130</v>
      </c>
      <c r="R33" s="2" t="s">
        <v>130</v>
      </c>
      <c r="S33" s="2" t="s">
        <v>131</v>
      </c>
      <c r="T33" s="2" t="s">
        <v>130</v>
      </c>
      <c r="U33" s="2" t="s">
        <v>130</v>
      </c>
      <c r="V33" s="2" t="s">
        <v>7</v>
      </c>
      <c r="W33" s="2">
        <v>70</v>
      </c>
      <c r="X33" s="2" t="s">
        <v>8</v>
      </c>
      <c r="Y33" s="2" t="s">
        <v>20</v>
      </c>
      <c r="Z33" s="2" t="s">
        <v>14</v>
      </c>
      <c r="AA33" s="2" t="s">
        <v>130</v>
      </c>
      <c r="AB33" s="2" t="s">
        <v>19</v>
      </c>
      <c r="AC33" s="2">
        <v>1.91</v>
      </c>
      <c r="AD33" s="8" t="str">
        <f t="shared" si="0"/>
        <v>No</v>
      </c>
      <c r="AE33" s="2">
        <v>3.96</v>
      </c>
      <c r="AF33" s="2">
        <v>12.6</v>
      </c>
      <c r="AG33" s="8" t="s">
        <v>130</v>
      </c>
      <c r="AH33" s="2">
        <v>37.700000000000003</v>
      </c>
      <c r="AI33" s="2">
        <v>95.2</v>
      </c>
      <c r="AJ33" s="2">
        <v>31.8</v>
      </c>
      <c r="AK33" s="2">
        <v>33.4</v>
      </c>
      <c r="AL33" s="2">
        <v>315</v>
      </c>
      <c r="AM33" s="8" t="str">
        <f t="shared" si="1"/>
        <v>No</v>
      </c>
      <c r="AN33" s="10" t="str">
        <f t="shared" si="2"/>
        <v>No</v>
      </c>
      <c r="AO33" s="2">
        <v>5.6</v>
      </c>
      <c r="AP33" s="8" t="str">
        <f t="shared" si="3"/>
        <v>No</v>
      </c>
      <c r="AQ33" s="10" t="str">
        <f t="shared" si="4"/>
        <v>No</v>
      </c>
      <c r="AR33" s="2">
        <v>3.3</v>
      </c>
      <c r="AS33" s="2">
        <v>58.9</v>
      </c>
      <c r="AT33" s="8" t="str">
        <f t="shared" si="5"/>
        <v>No</v>
      </c>
      <c r="AU33" s="10" t="str">
        <f t="shared" si="6"/>
        <v>No</v>
      </c>
      <c r="AV33" s="2">
        <v>0.11</v>
      </c>
      <c r="AW33" s="2">
        <v>2</v>
      </c>
      <c r="AX33" s="2">
        <v>0.04</v>
      </c>
      <c r="AY33" s="2">
        <v>0.7</v>
      </c>
      <c r="AZ33" s="2">
        <v>1.45</v>
      </c>
      <c r="BA33" s="2">
        <v>25.9</v>
      </c>
      <c r="BB33" s="8" t="str">
        <f t="shared" si="7"/>
        <v>No</v>
      </c>
      <c r="BC33" s="10" t="str">
        <f t="shared" si="8"/>
        <v>No</v>
      </c>
      <c r="BD33" s="2">
        <v>0.7</v>
      </c>
      <c r="BE33" s="2">
        <v>12.5</v>
      </c>
      <c r="BF33" s="8" t="str">
        <f t="shared" si="9"/>
        <v>No</v>
      </c>
      <c r="BG33" s="10" t="str">
        <f t="shared" si="10"/>
        <v>No</v>
      </c>
      <c r="BH33" s="15">
        <f t="shared" si="11"/>
        <v>2.2758620689655173</v>
      </c>
      <c r="BI33" s="13">
        <f t="shared" si="12"/>
        <v>0.48275862068965514</v>
      </c>
      <c r="BJ33" s="2">
        <f t="shared" si="13"/>
        <v>217.24137931034483</v>
      </c>
    </row>
    <row r="34" spans="1:62" x14ac:dyDescent="0.2">
      <c r="A34" s="2" t="s">
        <v>251</v>
      </c>
      <c r="B34" s="2">
        <v>50</v>
      </c>
      <c r="C34" s="2">
        <v>26.72</v>
      </c>
      <c r="D34" s="2" t="s">
        <v>45</v>
      </c>
      <c r="E34" s="2" t="s">
        <v>48</v>
      </c>
      <c r="F34" s="2" t="s">
        <v>55</v>
      </c>
      <c r="G34" s="2">
        <v>22</v>
      </c>
      <c r="H34" s="2">
        <v>4</v>
      </c>
      <c r="I34" s="2" t="s">
        <v>59</v>
      </c>
      <c r="J34" s="2">
        <v>3</v>
      </c>
      <c r="K34" s="2" t="s">
        <v>63</v>
      </c>
      <c r="L34" s="2" t="s">
        <v>131</v>
      </c>
      <c r="M34" s="2" t="s">
        <v>130</v>
      </c>
      <c r="N34" s="2" t="s">
        <v>131</v>
      </c>
      <c r="O34" s="2" t="s">
        <v>130</v>
      </c>
      <c r="P34" s="2" t="s">
        <v>130</v>
      </c>
      <c r="Q34" s="2" t="s">
        <v>130</v>
      </c>
      <c r="R34" s="2" t="s">
        <v>130</v>
      </c>
      <c r="S34" s="2" t="s">
        <v>131</v>
      </c>
      <c r="T34" s="2" t="s">
        <v>130</v>
      </c>
      <c r="U34" s="2" t="s">
        <v>130</v>
      </c>
      <c r="V34" s="2" t="s">
        <v>17</v>
      </c>
      <c r="W34" s="2">
        <v>70</v>
      </c>
      <c r="X34" s="2" t="s">
        <v>21</v>
      </c>
      <c r="Y34" s="2" t="s">
        <v>9</v>
      </c>
      <c r="Z34" s="2" t="s">
        <v>14</v>
      </c>
      <c r="AA34" s="2" t="s">
        <v>130</v>
      </c>
      <c r="AB34" s="2" t="s">
        <v>19</v>
      </c>
      <c r="AC34" s="2">
        <v>46</v>
      </c>
      <c r="AD34" s="8" t="str">
        <f t="shared" si="0"/>
        <v>Yes</v>
      </c>
      <c r="AE34" s="2">
        <v>2.83</v>
      </c>
      <c r="AF34" s="2">
        <v>5.5</v>
      </c>
      <c r="AG34" s="8" t="s">
        <v>131</v>
      </c>
      <c r="AH34" s="2">
        <v>19.3</v>
      </c>
      <c r="AI34" s="2">
        <v>68.2</v>
      </c>
      <c r="AJ34" s="2">
        <v>19.399999999999999</v>
      </c>
      <c r="AK34" s="2">
        <v>28.5</v>
      </c>
      <c r="AL34" s="2">
        <v>738</v>
      </c>
      <c r="AM34" s="8" t="str">
        <f t="shared" si="1"/>
        <v>Yes</v>
      </c>
      <c r="AN34" s="10" t="str">
        <f t="shared" si="2"/>
        <v>No</v>
      </c>
      <c r="AO34" s="2">
        <v>10.16</v>
      </c>
      <c r="AP34" s="8" t="str">
        <f t="shared" si="3"/>
        <v>Yes</v>
      </c>
      <c r="AQ34" s="10" t="str">
        <f t="shared" si="4"/>
        <v>No</v>
      </c>
      <c r="AR34" s="2">
        <v>8.0299999999999994</v>
      </c>
      <c r="AS34" s="2">
        <v>79</v>
      </c>
      <c r="AT34" s="8" t="str">
        <f t="shared" si="5"/>
        <v>Yes</v>
      </c>
      <c r="AU34" s="10" t="str">
        <f t="shared" si="6"/>
        <v>No</v>
      </c>
      <c r="AV34" s="2">
        <v>0.01</v>
      </c>
      <c r="AW34" s="2">
        <v>0.1</v>
      </c>
      <c r="AX34" s="2">
        <v>0.06</v>
      </c>
      <c r="AY34" s="2">
        <v>0.6</v>
      </c>
      <c r="AZ34" s="2">
        <v>1.1299999999999999</v>
      </c>
      <c r="BA34" s="2">
        <v>11.1</v>
      </c>
      <c r="BB34" s="8" t="str">
        <f t="shared" si="7"/>
        <v>No</v>
      </c>
      <c r="BC34" s="10" t="str">
        <f t="shared" si="8"/>
        <v>No</v>
      </c>
      <c r="BD34" s="2">
        <v>0.93</v>
      </c>
      <c r="BE34" s="2">
        <v>9.1999999999999993</v>
      </c>
      <c r="BF34" s="8" t="str">
        <f t="shared" si="9"/>
        <v>No</v>
      </c>
      <c r="BG34" s="10" t="str">
        <f t="shared" si="10"/>
        <v>No</v>
      </c>
      <c r="BH34" s="15">
        <f t="shared" si="11"/>
        <v>7.1061946902654869</v>
      </c>
      <c r="BI34" s="13">
        <f t="shared" si="12"/>
        <v>0.82300884955752229</v>
      </c>
      <c r="BJ34" s="2">
        <f t="shared" si="13"/>
        <v>653.09734513274338</v>
      </c>
    </row>
    <row r="35" spans="1:62" x14ac:dyDescent="0.2">
      <c r="A35" s="2" t="s">
        <v>252</v>
      </c>
      <c r="B35" s="2">
        <v>47</v>
      </c>
      <c r="C35" s="2">
        <v>23.83</v>
      </c>
      <c r="D35" s="2" t="s">
        <v>45</v>
      </c>
      <c r="E35" s="2" t="s">
        <v>48</v>
      </c>
      <c r="F35" s="2" t="s">
        <v>55</v>
      </c>
      <c r="G35" s="2">
        <v>25</v>
      </c>
      <c r="H35" s="2">
        <v>5</v>
      </c>
      <c r="I35" s="2" t="s">
        <v>59</v>
      </c>
      <c r="J35" s="2">
        <v>5</v>
      </c>
      <c r="K35" s="2" t="s">
        <v>63</v>
      </c>
      <c r="L35" s="2" t="s">
        <v>130</v>
      </c>
      <c r="M35" s="2" t="s">
        <v>130</v>
      </c>
      <c r="N35" s="2" t="s">
        <v>131</v>
      </c>
      <c r="O35" s="2" t="s">
        <v>130</v>
      </c>
      <c r="P35" s="2" t="s">
        <v>131</v>
      </c>
      <c r="Q35" s="2" t="s">
        <v>130</v>
      </c>
      <c r="R35" s="2" t="s">
        <v>130</v>
      </c>
      <c r="S35" s="2" t="s">
        <v>131</v>
      </c>
      <c r="T35" s="2" t="s">
        <v>130</v>
      </c>
      <c r="U35" s="2" t="s">
        <v>130</v>
      </c>
      <c r="V35" s="2" t="s">
        <v>7</v>
      </c>
      <c r="W35" s="2">
        <v>80</v>
      </c>
      <c r="X35" s="2" t="s">
        <v>8</v>
      </c>
      <c r="Y35" s="2" t="s">
        <v>9</v>
      </c>
      <c r="Z35" s="2" t="s">
        <v>14</v>
      </c>
      <c r="AA35" s="2" t="s">
        <v>130</v>
      </c>
      <c r="AB35" s="2" t="s">
        <v>19</v>
      </c>
      <c r="AC35" s="2">
        <v>1.19</v>
      </c>
      <c r="AD35" s="8" t="str">
        <f t="shared" si="0"/>
        <v>No</v>
      </c>
      <c r="AE35" s="2">
        <v>4.3899999999999997</v>
      </c>
      <c r="AF35" s="2">
        <v>12.2</v>
      </c>
      <c r="AG35" s="8" t="s">
        <v>130</v>
      </c>
      <c r="AH35" s="2">
        <v>38.1</v>
      </c>
      <c r="AI35" s="2">
        <v>86.8</v>
      </c>
      <c r="AJ35" s="2">
        <v>27.8</v>
      </c>
      <c r="AK35" s="2">
        <v>32</v>
      </c>
      <c r="AL35" s="2">
        <v>310</v>
      </c>
      <c r="AM35" s="8" t="str">
        <f t="shared" si="1"/>
        <v>No</v>
      </c>
      <c r="AN35" s="10" t="str">
        <f t="shared" si="2"/>
        <v>No</v>
      </c>
      <c r="AO35" s="2">
        <v>4.82</v>
      </c>
      <c r="AP35" s="8" t="str">
        <f t="shared" si="3"/>
        <v>No</v>
      </c>
      <c r="AQ35" s="10" t="str">
        <f t="shared" si="4"/>
        <v>No</v>
      </c>
      <c r="AR35" s="2">
        <v>2.29</v>
      </c>
      <c r="AS35" s="2">
        <v>47.5</v>
      </c>
      <c r="AT35" s="8" t="str">
        <f t="shared" si="5"/>
        <v>No</v>
      </c>
      <c r="AU35" s="10" t="str">
        <f t="shared" si="6"/>
        <v>No</v>
      </c>
      <c r="AV35" s="2">
        <v>0.22</v>
      </c>
      <c r="AW35" s="2">
        <v>4.5999999999999996</v>
      </c>
      <c r="AX35" s="2">
        <v>0.02</v>
      </c>
      <c r="AY35" s="2">
        <v>0.4</v>
      </c>
      <c r="AZ35" s="2">
        <v>1.9</v>
      </c>
      <c r="BA35" s="2">
        <v>39.4</v>
      </c>
      <c r="BB35" s="8" t="str">
        <f t="shared" si="7"/>
        <v>No</v>
      </c>
      <c r="BC35" s="10" t="str">
        <f t="shared" si="8"/>
        <v>No</v>
      </c>
      <c r="BD35" s="2">
        <v>0.39</v>
      </c>
      <c r="BE35" s="2">
        <v>8.1</v>
      </c>
      <c r="BF35" s="8" t="str">
        <f t="shared" si="9"/>
        <v>No</v>
      </c>
      <c r="BG35" s="10" t="str">
        <f t="shared" si="10"/>
        <v>No</v>
      </c>
      <c r="BH35" s="15">
        <f t="shared" si="11"/>
        <v>1.2052631578947368</v>
      </c>
      <c r="BI35" s="13">
        <f t="shared" si="12"/>
        <v>0.20526315789473687</v>
      </c>
      <c r="BJ35" s="2">
        <f t="shared" si="13"/>
        <v>163.15789473684211</v>
      </c>
    </row>
    <row r="36" spans="1:62" x14ac:dyDescent="0.2">
      <c r="A36" s="2" t="s">
        <v>163</v>
      </c>
      <c r="B36" s="2">
        <v>43</v>
      </c>
      <c r="C36" s="2">
        <v>23.53</v>
      </c>
      <c r="D36" s="2" t="s">
        <v>45</v>
      </c>
      <c r="E36" s="2" t="s">
        <v>48</v>
      </c>
      <c r="F36" s="2" t="s">
        <v>55</v>
      </c>
      <c r="G36" s="2">
        <v>16</v>
      </c>
      <c r="H36" s="2">
        <v>5</v>
      </c>
      <c r="I36" s="2" t="s">
        <v>59</v>
      </c>
      <c r="J36" s="2">
        <v>4</v>
      </c>
      <c r="K36" s="2" t="s">
        <v>63</v>
      </c>
      <c r="L36" s="2" t="s">
        <v>131</v>
      </c>
      <c r="M36" s="2" t="s">
        <v>130</v>
      </c>
      <c r="N36" s="2" t="s">
        <v>131</v>
      </c>
      <c r="O36" s="2" t="s">
        <v>130</v>
      </c>
      <c r="P36" s="2" t="s">
        <v>130</v>
      </c>
      <c r="Q36" s="2" t="s">
        <v>130</v>
      </c>
      <c r="R36" s="2" t="s">
        <v>130</v>
      </c>
      <c r="S36" s="2" t="s">
        <v>131</v>
      </c>
      <c r="T36" s="2" t="s">
        <v>130</v>
      </c>
      <c r="U36" s="2" t="s">
        <v>130</v>
      </c>
      <c r="V36" s="2" t="s">
        <v>7</v>
      </c>
      <c r="W36" s="2">
        <v>20</v>
      </c>
      <c r="X36" s="2" t="s">
        <v>8</v>
      </c>
      <c r="Y36" s="2" t="s">
        <v>9</v>
      </c>
      <c r="Z36" s="2" t="s">
        <v>14</v>
      </c>
      <c r="AA36" s="2" t="s">
        <v>130</v>
      </c>
      <c r="AB36" s="2" t="s">
        <v>19</v>
      </c>
      <c r="AC36" s="2">
        <v>7</v>
      </c>
      <c r="AD36" s="8" t="str">
        <f t="shared" si="0"/>
        <v>Yes</v>
      </c>
      <c r="AE36" s="2">
        <v>5.5</v>
      </c>
      <c r="AF36" s="2">
        <v>13.3</v>
      </c>
      <c r="AG36" s="8" t="s">
        <v>130</v>
      </c>
      <c r="AH36" s="2">
        <v>42.3</v>
      </c>
      <c r="AI36" s="2">
        <v>76.900000000000006</v>
      </c>
      <c r="AJ36" s="2">
        <v>24.2</v>
      </c>
      <c r="AK36" s="2">
        <v>31.4</v>
      </c>
      <c r="AL36" s="2">
        <v>130</v>
      </c>
      <c r="AM36" s="8" t="str">
        <f t="shared" si="1"/>
        <v>No</v>
      </c>
      <c r="AN36" s="10" t="str">
        <f t="shared" si="2"/>
        <v>Yes</v>
      </c>
      <c r="AO36" s="2">
        <v>5.29</v>
      </c>
      <c r="AP36" s="8" t="str">
        <f t="shared" si="3"/>
        <v>No</v>
      </c>
      <c r="AQ36" s="10" t="str">
        <f t="shared" si="4"/>
        <v>No</v>
      </c>
      <c r="AR36" s="2">
        <v>2.16</v>
      </c>
      <c r="AS36" s="2">
        <v>40.9</v>
      </c>
      <c r="AT36" s="8" t="str">
        <f t="shared" si="5"/>
        <v>No</v>
      </c>
      <c r="AU36" s="10" t="str">
        <f t="shared" si="6"/>
        <v>No</v>
      </c>
      <c r="AV36" s="2">
        <v>0.15</v>
      </c>
      <c r="AW36" s="2">
        <v>2.8</v>
      </c>
      <c r="AX36" s="2">
        <v>0.02</v>
      </c>
      <c r="AY36" s="2">
        <v>0.4</v>
      </c>
      <c r="AZ36" s="2">
        <v>2.54</v>
      </c>
      <c r="BA36" s="2">
        <v>48</v>
      </c>
      <c r="BB36" s="8" t="str">
        <f t="shared" si="7"/>
        <v>No</v>
      </c>
      <c r="BC36" s="10" t="str">
        <f t="shared" si="8"/>
        <v>No</v>
      </c>
      <c r="BD36" s="2">
        <v>0.42</v>
      </c>
      <c r="BE36" s="2">
        <v>7.9</v>
      </c>
      <c r="BF36" s="8" t="str">
        <f t="shared" si="9"/>
        <v>No</v>
      </c>
      <c r="BG36" s="10" t="str">
        <f t="shared" si="10"/>
        <v>No</v>
      </c>
      <c r="BH36" s="15">
        <f t="shared" si="11"/>
        <v>0.85039370078740162</v>
      </c>
      <c r="BI36" s="13">
        <f t="shared" si="12"/>
        <v>0.1653543307086614</v>
      </c>
      <c r="BJ36" s="2">
        <f t="shared" si="13"/>
        <v>51.181102362204726</v>
      </c>
    </row>
    <row r="37" spans="1:62" x14ac:dyDescent="0.2">
      <c r="A37" s="2" t="s">
        <v>164</v>
      </c>
      <c r="B37" s="2">
        <v>25</v>
      </c>
      <c r="C37" s="2">
        <v>24.91</v>
      </c>
      <c r="D37" s="2" t="s">
        <v>45</v>
      </c>
      <c r="E37" s="2" t="s">
        <v>48</v>
      </c>
      <c r="F37" s="2" t="s">
        <v>55</v>
      </c>
      <c r="G37" s="2">
        <v>15</v>
      </c>
      <c r="H37" s="2">
        <v>4</v>
      </c>
      <c r="I37" s="2" t="s">
        <v>59</v>
      </c>
      <c r="J37" s="2">
        <v>4</v>
      </c>
      <c r="K37" s="2" t="s">
        <v>63</v>
      </c>
      <c r="L37" s="2" t="s">
        <v>130</v>
      </c>
      <c r="M37" s="2" t="s">
        <v>130</v>
      </c>
      <c r="N37" s="3" t="s">
        <v>130</v>
      </c>
      <c r="O37" s="2" t="s">
        <v>131</v>
      </c>
      <c r="P37" s="2" t="s">
        <v>130</v>
      </c>
      <c r="Q37" s="2" t="s">
        <v>130</v>
      </c>
      <c r="R37" s="2" t="s">
        <v>130</v>
      </c>
      <c r="S37" s="2" t="s">
        <v>131</v>
      </c>
      <c r="T37" s="2" t="s">
        <v>130</v>
      </c>
      <c r="U37" s="2" t="s">
        <v>130</v>
      </c>
      <c r="V37" s="2" t="s">
        <v>7</v>
      </c>
      <c r="W37" s="2">
        <v>95</v>
      </c>
      <c r="X37" s="2" t="s">
        <v>8</v>
      </c>
      <c r="Y37" s="2" t="s">
        <v>20</v>
      </c>
      <c r="Z37" s="2" t="s">
        <v>14</v>
      </c>
      <c r="AA37" s="2" t="s">
        <v>130</v>
      </c>
      <c r="AB37" s="2" t="s">
        <v>19</v>
      </c>
      <c r="AC37" s="2">
        <v>192</v>
      </c>
      <c r="AD37" s="8" t="str">
        <f t="shared" si="0"/>
        <v>Yes</v>
      </c>
      <c r="AE37" s="2">
        <v>3.47</v>
      </c>
      <c r="AF37" s="2">
        <v>9.8000000000000007</v>
      </c>
      <c r="AG37" s="8" t="s">
        <v>131</v>
      </c>
      <c r="AH37" s="2">
        <v>30.1</v>
      </c>
      <c r="AI37" s="2">
        <v>86.7</v>
      </c>
      <c r="AJ37" s="2">
        <v>28.2</v>
      </c>
      <c r="AK37" s="2">
        <v>32.6</v>
      </c>
      <c r="AL37" s="2">
        <v>145</v>
      </c>
      <c r="AM37" s="8" t="str">
        <f t="shared" si="1"/>
        <v>No</v>
      </c>
      <c r="AN37" s="10" t="str">
        <f t="shared" si="2"/>
        <v>Yes</v>
      </c>
      <c r="AO37" s="2">
        <v>5.62</v>
      </c>
      <c r="AP37" s="8" t="str">
        <f t="shared" si="3"/>
        <v>No</v>
      </c>
      <c r="AQ37" s="10" t="str">
        <f t="shared" si="4"/>
        <v>No</v>
      </c>
      <c r="AR37" s="2">
        <v>3.95</v>
      </c>
      <c r="AS37" s="2">
        <v>70.2</v>
      </c>
      <c r="AT37" s="8" t="str">
        <f t="shared" si="5"/>
        <v>No</v>
      </c>
      <c r="AU37" s="10" t="str">
        <f t="shared" si="6"/>
        <v>No</v>
      </c>
      <c r="AV37" s="2">
        <v>0.02</v>
      </c>
      <c r="AW37" s="2">
        <v>0.4</v>
      </c>
      <c r="AX37" s="2">
        <v>0.02</v>
      </c>
      <c r="AY37" s="2">
        <v>0.4</v>
      </c>
      <c r="AZ37" s="2">
        <v>1.1299999999999999</v>
      </c>
      <c r="BA37" s="2">
        <v>20.100000000000001</v>
      </c>
      <c r="BB37" s="8" t="str">
        <f t="shared" si="7"/>
        <v>No</v>
      </c>
      <c r="BC37" s="10" t="str">
        <f t="shared" si="8"/>
        <v>No</v>
      </c>
      <c r="BD37" s="2">
        <v>0.5</v>
      </c>
      <c r="BE37" s="2">
        <v>8.9</v>
      </c>
      <c r="BF37" s="8" t="str">
        <f t="shared" si="9"/>
        <v>No</v>
      </c>
      <c r="BG37" s="10" t="str">
        <f t="shared" si="10"/>
        <v>No</v>
      </c>
      <c r="BH37" s="15">
        <f t="shared" si="11"/>
        <v>3.4955752212389384</v>
      </c>
      <c r="BI37" s="13">
        <f t="shared" si="12"/>
        <v>0.44247787610619471</v>
      </c>
      <c r="BJ37" s="2">
        <f t="shared" si="13"/>
        <v>128.31858407079648</v>
      </c>
    </row>
    <row r="38" spans="1:62" x14ac:dyDescent="0.2">
      <c r="A38" s="2" t="s">
        <v>165</v>
      </c>
      <c r="B38" s="2">
        <v>30</v>
      </c>
      <c r="C38" s="2">
        <v>23.62</v>
      </c>
      <c r="D38" s="2" t="s">
        <v>45</v>
      </c>
      <c r="E38" s="2" t="s">
        <v>49</v>
      </c>
      <c r="F38" s="2" t="s">
        <v>53</v>
      </c>
      <c r="G38" s="2">
        <v>25</v>
      </c>
      <c r="H38" s="2">
        <v>1</v>
      </c>
      <c r="I38" s="2" t="s">
        <v>60</v>
      </c>
      <c r="J38" s="2">
        <v>1</v>
      </c>
      <c r="K38" s="2" t="s">
        <v>62</v>
      </c>
      <c r="L38" s="2" t="s">
        <v>130</v>
      </c>
      <c r="M38" s="2" t="s">
        <v>130</v>
      </c>
      <c r="N38" s="3" t="s">
        <v>130</v>
      </c>
      <c r="O38" s="2" t="s">
        <v>130</v>
      </c>
      <c r="P38" s="2" t="s">
        <v>131</v>
      </c>
      <c r="Q38" s="2" t="s">
        <v>130</v>
      </c>
      <c r="R38" s="2" t="s">
        <v>130</v>
      </c>
      <c r="S38" s="2" t="s">
        <v>131</v>
      </c>
      <c r="T38" s="2" t="s">
        <v>130</v>
      </c>
      <c r="U38" s="2" t="s">
        <v>130</v>
      </c>
      <c r="V38" s="2" t="s">
        <v>17</v>
      </c>
      <c r="W38" s="2">
        <v>95</v>
      </c>
      <c r="X38" s="2" t="s">
        <v>8</v>
      </c>
      <c r="Y38" s="2" t="s">
        <v>9</v>
      </c>
      <c r="Z38" s="2" t="s">
        <v>14</v>
      </c>
      <c r="AA38" s="2" t="s">
        <v>130</v>
      </c>
      <c r="AB38" s="2" t="s">
        <v>19</v>
      </c>
      <c r="AC38" s="2">
        <v>33.200000000000003</v>
      </c>
      <c r="AD38" s="8" t="str">
        <f t="shared" si="0"/>
        <v>Yes</v>
      </c>
      <c r="AE38" s="2">
        <v>4.13</v>
      </c>
      <c r="AF38" s="2">
        <v>10</v>
      </c>
      <c r="AG38" s="8" t="s">
        <v>131</v>
      </c>
      <c r="AH38" s="2">
        <v>32.5</v>
      </c>
      <c r="AI38" s="2">
        <v>78.7</v>
      </c>
      <c r="AJ38" s="2">
        <v>24.2</v>
      </c>
      <c r="AK38" s="2">
        <v>30.8</v>
      </c>
      <c r="AL38" s="2">
        <v>205</v>
      </c>
      <c r="AM38" s="8" t="str">
        <f t="shared" si="1"/>
        <v>No</v>
      </c>
      <c r="AN38" s="10" t="str">
        <f t="shared" si="2"/>
        <v>No</v>
      </c>
      <c r="AO38" s="2">
        <v>5.58</v>
      </c>
      <c r="AP38" s="8" t="str">
        <f t="shared" si="3"/>
        <v>No</v>
      </c>
      <c r="AQ38" s="10" t="str">
        <f t="shared" si="4"/>
        <v>No</v>
      </c>
      <c r="AR38" s="2">
        <v>3.32</v>
      </c>
      <c r="AS38" s="2">
        <v>59.5</v>
      </c>
      <c r="AT38" s="8" t="str">
        <f t="shared" si="5"/>
        <v>No</v>
      </c>
      <c r="AU38" s="10" t="str">
        <f t="shared" si="6"/>
        <v>No</v>
      </c>
      <c r="AV38" s="2">
        <v>0.09</v>
      </c>
      <c r="AW38" s="2">
        <v>1.6</v>
      </c>
      <c r="AX38" s="2">
        <v>0.03</v>
      </c>
      <c r="AY38" s="2">
        <v>0.5</v>
      </c>
      <c r="AZ38" s="2">
        <v>1.41</v>
      </c>
      <c r="BA38" s="2">
        <v>25.3</v>
      </c>
      <c r="BB38" s="8" t="str">
        <f t="shared" si="7"/>
        <v>No</v>
      </c>
      <c r="BC38" s="10" t="str">
        <f t="shared" si="8"/>
        <v>No</v>
      </c>
      <c r="BD38" s="2">
        <v>0.73</v>
      </c>
      <c r="BE38" s="2">
        <v>13.1</v>
      </c>
      <c r="BF38" s="8" t="str">
        <f t="shared" si="9"/>
        <v>No</v>
      </c>
      <c r="BG38" s="10" t="str">
        <f t="shared" si="10"/>
        <v>No</v>
      </c>
      <c r="BH38" s="15">
        <f t="shared" si="11"/>
        <v>2.354609929078014</v>
      </c>
      <c r="BI38" s="13">
        <f t="shared" si="12"/>
        <v>0.51773049645390068</v>
      </c>
      <c r="BJ38" s="2">
        <f t="shared" si="13"/>
        <v>145.39007092198582</v>
      </c>
    </row>
    <row r="39" spans="1:62" x14ac:dyDescent="0.2">
      <c r="A39" s="2" t="s">
        <v>166</v>
      </c>
      <c r="B39" s="2">
        <v>32</v>
      </c>
      <c r="C39" s="2">
        <v>42.66</v>
      </c>
      <c r="D39" s="2" t="s">
        <v>45</v>
      </c>
      <c r="E39" s="2" t="s">
        <v>46</v>
      </c>
      <c r="F39" s="2" t="s">
        <v>55</v>
      </c>
      <c r="G39" s="2">
        <v>18</v>
      </c>
      <c r="H39" s="2">
        <v>4</v>
      </c>
      <c r="I39" s="2" t="s">
        <v>59</v>
      </c>
      <c r="J39" s="2">
        <v>4</v>
      </c>
      <c r="K39" s="2" t="s">
        <v>63</v>
      </c>
      <c r="L39" s="2" t="s">
        <v>130</v>
      </c>
      <c r="M39" s="2" t="s">
        <v>130</v>
      </c>
      <c r="N39" s="3" t="s">
        <v>130</v>
      </c>
      <c r="O39" s="2" t="s">
        <v>130</v>
      </c>
      <c r="P39" s="2" t="s">
        <v>131</v>
      </c>
      <c r="Q39" s="2" t="s">
        <v>130</v>
      </c>
      <c r="R39" s="2" t="s">
        <v>130</v>
      </c>
      <c r="S39" s="2" t="s">
        <v>131</v>
      </c>
      <c r="T39" s="2" t="s">
        <v>130</v>
      </c>
      <c r="U39" s="2" t="s">
        <v>130</v>
      </c>
      <c r="V39" s="2" t="s">
        <v>7</v>
      </c>
      <c r="W39" s="2">
        <v>60</v>
      </c>
      <c r="X39" s="2" t="s">
        <v>8</v>
      </c>
      <c r="Y39" s="2" t="s">
        <v>9</v>
      </c>
      <c r="Z39" s="2" t="s">
        <v>14</v>
      </c>
      <c r="AA39" s="2" t="s">
        <v>130</v>
      </c>
      <c r="AB39" s="2" t="s">
        <v>19</v>
      </c>
      <c r="AC39" s="2">
        <v>19.899999999999999</v>
      </c>
      <c r="AD39" s="8" t="str">
        <f t="shared" si="0"/>
        <v>Yes</v>
      </c>
      <c r="AE39" s="2">
        <v>5.63</v>
      </c>
      <c r="AF39" s="2">
        <v>11.6</v>
      </c>
      <c r="AG39" s="8" t="s">
        <v>131</v>
      </c>
      <c r="AH39" s="2">
        <v>37.700000000000003</v>
      </c>
      <c r="AI39" s="2">
        <v>67</v>
      </c>
      <c r="AJ39" s="2">
        <v>20.6</v>
      </c>
      <c r="AK39" s="2">
        <v>30.8</v>
      </c>
      <c r="AL39" s="2">
        <v>447</v>
      </c>
      <c r="AM39" s="8" t="str">
        <f t="shared" si="1"/>
        <v>Yes</v>
      </c>
      <c r="AN39" s="10" t="str">
        <f t="shared" si="2"/>
        <v>No</v>
      </c>
      <c r="AO39" s="2">
        <v>6.12</v>
      </c>
      <c r="AP39" s="8" t="str">
        <f t="shared" si="3"/>
        <v>No</v>
      </c>
      <c r="AQ39" s="10" t="str">
        <f t="shared" si="4"/>
        <v>No</v>
      </c>
      <c r="AR39" s="2">
        <v>4.0999999999999996</v>
      </c>
      <c r="AS39" s="2">
        <v>67</v>
      </c>
      <c r="AT39" s="8" t="str">
        <f t="shared" si="5"/>
        <v>No</v>
      </c>
      <c r="AU39" s="10" t="str">
        <f t="shared" si="6"/>
        <v>No</v>
      </c>
      <c r="AV39" s="2">
        <v>0.01</v>
      </c>
      <c r="AW39" s="2">
        <v>0.2</v>
      </c>
      <c r="AX39" s="2">
        <v>0.02</v>
      </c>
      <c r="AY39" s="2">
        <v>0.3</v>
      </c>
      <c r="AZ39" s="2">
        <v>1.69</v>
      </c>
      <c r="BA39" s="2">
        <v>27.6</v>
      </c>
      <c r="BB39" s="8" t="str">
        <f t="shared" si="7"/>
        <v>No</v>
      </c>
      <c r="BC39" s="10" t="str">
        <f t="shared" si="8"/>
        <v>No</v>
      </c>
      <c r="BD39" s="2">
        <v>0.3</v>
      </c>
      <c r="BE39" s="2">
        <v>4.9000000000000004</v>
      </c>
      <c r="BF39" s="8" t="str">
        <f t="shared" si="9"/>
        <v>No</v>
      </c>
      <c r="BG39" s="10" t="str">
        <f t="shared" si="10"/>
        <v>No</v>
      </c>
      <c r="BH39" s="15">
        <f t="shared" si="11"/>
        <v>2.4260355029585798</v>
      </c>
      <c r="BI39" s="13">
        <f t="shared" si="12"/>
        <v>0.17751479289940827</v>
      </c>
      <c r="BJ39" s="2">
        <f t="shared" si="13"/>
        <v>264.49704142011836</v>
      </c>
    </row>
    <row r="40" spans="1:62" x14ac:dyDescent="0.2">
      <c r="A40" s="2" t="s">
        <v>167</v>
      </c>
      <c r="B40" s="2">
        <v>43</v>
      </c>
      <c r="C40" s="2">
        <v>17.350000000000001</v>
      </c>
      <c r="D40" s="2" t="s">
        <v>45</v>
      </c>
      <c r="E40" s="2" t="s">
        <v>48</v>
      </c>
      <c r="F40" s="2" t="s">
        <v>55</v>
      </c>
      <c r="G40" s="2">
        <v>21</v>
      </c>
      <c r="H40" s="2">
        <v>10</v>
      </c>
      <c r="I40" s="2" t="s">
        <v>59</v>
      </c>
      <c r="J40" s="2">
        <v>4</v>
      </c>
      <c r="K40" s="2" t="s">
        <v>63</v>
      </c>
      <c r="L40" s="2" t="s">
        <v>131</v>
      </c>
      <c r="M40" s="2" t="s">
        <v>130</v>
      </c>
      <c r="N40" s="3" t="s">
        <v>130</v>
      </c>
      <c r="O40" s="2" t="s">
        <v>130</v>
      </c>
      <c r="P40" s="2" t="s">
        <v>130</v>
      </c>
      <c r="Q40" s="2" t="s">
        <v>130</v>
      </c>
      <c r="R40" s="2" t="s">
        <v>130</v>
      </c>
      <c r="S40" s="2" t="s">
        <v>131</v>
      </c>
      <c r="T40" s="2" t="s">
        <v>130</v>
      </c>
      <c r="U40" s="2" t="s">
        <v>130</v>
      </c>
      <c r="V40" s="2" t="s">
        <v>7</v>
      </c>
      <c r="W40" s="2">
        <v>25</v>
      </c>
      <c r="X40" s="2" t="s">
        <v>8</v>
      </c>
      <c r="Y40" s="2" t="s">
        <v>9</v>
      </c>
      <c r="Z40" s="2" t="s">
        <v>14</v>
      </c>
      <c r="AA40" s="2" t="s">
        <v>130</v>
      </c>
      <c r="AB40" s="2" t="s">
        <v>19</v>
      </c>
      <c r="AC40" s="2">
        <v>35</v>
      </c>
      <c r="AD40" s="8" t="str">
        <f t="shared" si="0"/>
        <v>Yes</v>
      </c>
      <c r="AE40" s="2">
        <v>4.91</v>
      </c>
      <c r="AF40" s="2">
        <v>12.2</v>
      </c>
      <c r="AG40" s="8" t="s">
        <v>130</v>
      </c>
      <c r="AH40" s="2">
        <v>37.5</v>
      </c>
      <c r="AI40" s="2">
        <v>76.400000000000006</v>
      </c>
      <c r="AJ40" s="2">
        <v>24.8</v>
      </c>
      <c r="AK40" s="2">
        <v>32.5</v>
      </c>
      <c r="AL40" s="2">
        <v>722</v>
      </c>
      <c r="AM40" s="8" t="str">
        <f t="shared" si="1"/>
        <v>Yes</v>
      </c>
      <c r="AN40" s="10" t="str">
        <f t="shared" si="2"/>
        <v>No</v>
      </c>
      <c r="AO40" s="2">
        <v>12.31</v>
      </c>
      <c r="AP40" s="8" t="str">
        <f t="shared" si="3"/>
        <v>Yes</v>
      </c>
      <c r="AQ40" s="10" t="str">
        <f t="shared" si="4"/>
        <v>No</v>
      </c>
      <c r="AR40" s="2">
        <v>9.24</v>
      </c>
      <c r="AS40" s="2">
        <v>75</v>
      </c>
      <c r="AT40" s="8" t="str">
        <f t="shared" si="5"/>
        <v>Yes</v>
      </c>
      <c r="AU40" s="10" t="str">
        <f t="shared" si="6"/>
        <v>No</v>
      </c>
      <c r="AV40" s="2">
        <v>0.02</v>
      </c>
      <c r="AW40" s="2">
        <v>0.2</v>
      </c>
      <c r="AX40" s="2">
        <v>0.03</v>
      </c>
      <c r="AY40" s="2">
        <v>0.2</v>
      </c>
      <c r="AZ40" s="2">
        <v>2.04</v>
      </c>
      <c r="BA40" s="2">
        <v>16.600000000000001</v>
      </c>
      <c r="BB40" s="8" t="str">
        <f t="shared" si="7"/>
        <v>No</v>
      </c>
      <c r="BC40" s="10" t="str">
        <f t="shared" si="8"/>
        <v>No</v>
      </c>
      <c r="BD40" s="2">
        <v>0.98</v>
      </c>
      <c r="BE40" s="2">
        <v>8</v>
      </c>
      <c r="BF40" s="8" t="str">
        <f t="shared" si="9"/>
        <v>No</v>
      </c>
      <c r="BG40" s="10" t="str">
        <f t="shared" si="10"/>
        <v>No</v>
      </c>
      <c r="BH40" s="15">
        <f t="shared" si="11"/>
        <v>4.5294117647058822</v>
      </c>
      <c r="BI40" s="13">
        <f t="shared" si="12"/>
        <v>0.48039215686274506</v>
      </c>
      <c r="BJ40" s="2">
        <f t="shared" si="13"/>
        <v>353.92156862745099</v>
      </c>
    </row>
    <row r="41" spans="1:62" x14ac:dyDescent="0.2">
      <c r="A41" s="2" t="s">
        <v>168</v>
      </c>
      <c r="B41" s="2">
        <v>26</v>
      </c>
      <c r="C41" s="2">
        <v>19.809999999999999</v>
      </c>
      <c r="D41" s="2" t="s">
        <v>45</v>
      </c>
      <c r="E41" s="2" t="s">
        <v>48</v>
      </c>
      <c r="F41" s="2" t="s">
        <v>55</v>
      </c>
      <c r="G41" s="2">
        <v>20</v>
      </c>
      <c r="H41" s="2">
        <v>3</v>
      </c>
      <c r="I41" s="2" t="s">
        <v>59</v>
      </c>
      <c r="J41" s="2">
        <v>3</v>
      </c>
      <c r="K41" s="2" t="s">
        <v>63</v>
      </c>
      <c r="L41" s="2" t="s">
        <v>130</v>
      </c>
      <c r="M41" s="2" t="s">
        <v>130</v>
      </c>
      <c r="N41" s="3" t="s">
        <v>130</v>
      </c>
      <c r="O41" s="2" t="s">
        <v>131</v>
      </c>
      <c r="P41" s="2" t="s">
        <v>131</v>
      </c>
      <c r="Q41" s="2" t="s">
        <v>130</v>
      </c>
      <c r="R41" s="2" t="s">
        <v>130</v>
      </c>
      <c r="S41" s="2" t="s">
        <v>131</v>
      </c>
      <c r="T41" s="2" t="s">
        <v>130</v>
      </c>
      <c r="U41" s="2" t="s">
        <v>130</v>
      </c>
      <c r="V41" s="2" t="s">
        <v>7</v>
      </c>
      <c r="W41" s="2">
        <v>30</v>
      </c>
      <c r="X41" s="2" t="s">
        <v>21</v>
      </c>
      <c r="Y41" s="2" t="s">
        <v>9</v>
      </c>
      <c r="Z41" s="2" t="s">
        <v>14</v>
      </c>
      <c r="AA41" s="2" t="s">
        <v>130</v>
      </c>
      <c r="AB41" s="2" t="s">
        <v>19</v>
      </c>
      <c r="AC41" s="2">
        <v>6</v>
      </c>
      <c r="AD41" s="8" t="str">
        <f t="shared" si="0"/>
        <v>No</v>
      </c>
      <c r="AE41" s="2">
        <v>5.91</v>
      </c>
      <c r="AF41" s="2">
        <v>12.5</v>
      </c>
      <c r="AG41" s="8" t="s">
        <v>130</v>
      </c>
      <c r="AH41" s="2">
        <v>40.200000000000003</v>
      </c>
      <c r="AI41" s="2">
        <v>68</v>
      </c>
      <c r="AJ41" s="2">
        <v>21.2</v>
      </c>
      <c r="AK41" s="2">
        <v>31.1</v>
      </c>
      <c r="AL41" s="2">
        <v>356</v>
      </c>
      <c r="AM41" s="8" t="str">
        <f t="shared" si="1"/>
        <v>No</v>
      </c>
      <c r="AN41" s="10" t="str">
        <f t="shared" si="2"/>
        <v>No</v>
      </c>
      <c r="AO41" s="2">
        <v>6.41</v>
      </c>
      <c r="AP41" s="8" t="str">
        <f t="shared" si="3"/>
        <v>No</v>
      </c>
      <c r="AQ41" s="10" t="str">
        <f t="shared" si="4"/>
        <v>No</v>
      </c>
      <c r="AR41" s="2">
        <v>1.95</v>
      </c>
      <c r="AS41" s="2">
        <v>30.3</v>
      </c>
      <c r="AT41" s="8" t="str">
        <f t="shared" si="5"/>
        <v>No</v>
      </c>
      <c r="AU41" s="10" t="str">
        <f t="shared" si="6"/>
        <v>Yes</v>
      </c>
      <c r="AV41" s="2">
        <v>0.5</v>
      </c>
      <c r="AW41" s="2">
        <v>7.8</v>
      </c>
      <c r="AX41" s="2">
        <v>0.01</v>
      </c>
      <c r="AY41" s="2">
        <v>0.2</v>
      </c>
      <c r="AZ41" s="2">
        <v>3.42</v>
      </c>
      <c r="BA41" s="2">
        <v>53.4</v>
      </c>
      <c r="BB41" s="8" t="str">
        <f t="shared" si="7"/>
        <v>No</v>
      </c>
      <c r="BC41" s="10" t="str">
        <f t="shared" si="8"/>
        <v>No</v>
      </c>
      <c r="BD41" s="2">
        <v>0.53</v>
      </c>
      <c r="BE41" s="2">
        <v>8.3000000000000007</v>
      </c>
      <c r="BF41" s="8" t="str">
        <f t="shared" si="9"/>
        <v>No</v>
      </c>
      <c r="BG41" s="10" t="str">
        <f t="shared" si="10"/>
        <v>No</v>
      </c>
      <c r="BH41" s="15">
        <f t="shared" si="11"/>
        <v>0.57017543859649122</v>
      </c>
      <c r="BI41" s="13">
        <f t="shared" si="12"/>
        <v>0.15497076023391815</v>
      </c>
      <c r="BJ41" s="2">
        <f t="shared" si="13"/>
        <v>104.09356725146199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9252-F0A0-6C43-94EF-2772DB31D4F3}">
  <dimension ref="A1:BN41"/>
  <sheetViews>
    <sheetView topLeftCell="A13" zoomScale="101" workbookViewId="0">
      <selection activeCell="BL5" sqref="BL5"/>
    </sheetView>
  </sheetViews>
  <sheetFormatPr baseColWidth="10" defaultRowHeight="18" x14ac:dyDescent="0.2"/>
  <cols>
    <col min="1" max="1" width="22.1640625" style="2" customWidth="1"/>
    <col min="2" max="2" width="10.83203125" style="2"/>
    <col min="3" max="3" width="10.83203125" style="6"/>
    <col min="4" max="6" width="22.33203125" style="2" customWidth="1"/>
    <col min="7" max="7" width="17.5" style="2" customWidth="1"/>
    <col min="8" max="8" width="25.83203125" style="2" customWidth="1"/>
    <col min="9" max="12" width="19.33203125" style="2" customWidth="1"/>
    <col min="13" max="13" width="22.83203125" style="2" customWidth="1"/>
    <col min="14" max="14" width="24.33203125" style="2" customWidth="1"/>
    <col min="15" max="15" width="21" style="2" customWidth="1"/>
    <col min="16" max="16" width="35.33203125" style="2" customWidth="1"/>
    <col min="17" max="22" width="23" style="2" customWidth="1"/>
    <col min="23" max="27" width="13.83203125" style="2" customWidth="1"/>
    <col min="28" max="29" width="29.33203125" style="2" customWidth="1"/>
    <col min="30" max="30" width="10.83203125" style="2"/>
    <col min="31" max="31" width="12.1640625" style="2" customWidth="1"/>
    <col min="32" max="32" width="22.1640625" style="2" customWidth="1"/>
    <col min="33" max="33" width="10.83203125" style="2"/>
    <col min="34" max="34" width="14.5" style="19" customWidth="1"/>
    <col min="35" max="36" width="10.83203125" style="2"/>
    <col min="37" max="37" width="10.83203125" style="19"/>
    <col min="38" max="42" width="10.83203125" style="2"/>
    <col min="43" max="43" width="18.1640625" style="19" customWidth="1"/>
    <col min="44" max="44" width="17.1640625" style="18" customWidth="1"/>
    <col min="45" max="45" width="10.83203125" style="2"/>
    <col min="46" max="46" width="20.33203125" style="19" customWidth="1"/>
    <col min="47" max="47" width="14.6640625" style="18" customWidth="1"/>
    <col min="48" max="49" width="10.83203125" style="2"/>
    <col min="50" max="50" width="12.83203125" style="2" customWidth="1"/>
    <col min="51" max="51" width="15.33203125" style="2" customWidth="1"/>
    <col min="52" max="52" width="10.83203125" style="2"/>
    <col min="53" max="53" width="14" style="2" customWidth="1"/>
    <col min="54" max="54" width="15.5" style="18" customWidth="1"/>
    <col min="55" max="55" width="15.5" style="19" customWidth="1"/>
    <col min="56" max="56" width="13.5" style="2" customWidth="1"/>
    <col min="57" max="57" width="15.1640625" style="2" customWidth="1"/>
    <col min="58" max="58" width="16.6640625" style="18" customWidth="1"/>
    <col min="59" max="59" width="17.6640625" style="19" customWidth="1"/>
    <col min="60" max="60" width="12.6640625" style="2" customWidth="1"/>
    <col min="61" max="61" width="16.1640625" style="2" customWidth="1"/>
    <col min="62" max="62" width="15.33203125" style="19" customWidth="1"/>
    <col min="63" max="63" width="18.6640625" style="18" customWidth="1"/>
    <col min="64" max="16384" width="10.83203125" style="2"/>
  </cols>
  <sheetData>
    <row r="1" spans="1:66" s="1" customFormat="1" x14ac:dyDescent="0.2">
      <c r="A1" s="1" t="s">
        <v>0</v>
      </c>
      <c r="B1" s="1" t="s">
        <v>1</v>
      </c>
      <c r="C1" s="5" t="s">
        <v>74</v>
      </c>
      <c r="D1" s="1" t="s">
        <v>44</v>
      </c>
      <c r="E1" s="1" t="s">
        <v>51</v>
      </c>
      <c r="F1" s="1" t="s">
        <v>50</v>
      </c>
      <c r="G1" s="1" t="s">
        <v>79</v>
      </c>
      <c r="H1" s="1" t="s">
        <v>78</v>
      </c>
      <c r="I1" s="1" t="s">
        <v>57</v>
      </c>
      <c r="J1" s="1" t="s">
        <v>57</v>
      </c>
      <c r="K1" s="1" t="s">
        <v>82</v>
      </c>
      <c r="L1" s="1" t="s">
        <v>82</v>
      </c>
      <c r="M1" s="1" t="s">
        <v>84</v>
      </c>
      <c r="N1" s="1" t="s">
        <v>66</v>
      </c>
      <c r="O1" s="1" t="s">
        <v>67</v>
      </c>
      <c r="P1" s="1" t="s">
        <v>68</v>
      </c>
      <c r="Q1" s="1" t="s">
        <v>85</v>
      </c>
      <c r="R1" s="1" t="s">
        <v>86</v>
      </c>
      <c r="S1" s="1" t="s">
        <v>71</v>
      </c>
      <c r="T1" s="1" t="s">
        <v>87</v>
      </c>
      <c r="U1" s="1" t="s">
        <v>72</v>
      </c>
      <c r="V1" s="1" t="s">
        <v>2</v>
      </c>
      <c r="W1" s="1" t="s">
        <v>36</v>
      </c>
      <c r="X1" s="1" t="s">
        <v>30</v>
      </c>
      <c r="Y1" s="1" t="s">
        <v>34</v>
      </c>
      <c r="Z1" s="1" t="s">
        <v>35</v>
      </c>
      <c r="AA1" s="1" t="s">
        <v>31</v>
      </c>
      <c r="AB1" s="1" t="s">
        <v>25</v>
      </c>
      <c r="AC1" s="1" t="s">
        <v>26</v>
      </c>
      <c r="AD1" s="1" t="s">
        <v>4</v>
      </c>
      <c r="AE1" s="1" t="s">
        <v>117</v>
      </c>
      <c r="AF1" s="1" t="s">
        <v>118</v>
      </c>
      <c r="AG1" s="1" t="s">
        <v>37</v>
      </c>
      <c r="AH1" s="7" t="s">
        <v>90</v>
      </c>
      <c r="AI1" s="1" t="s">
        <v>94</v>
      </c>
      <c r="AJ1" s="1" t="s">
        <v>38</v>
      </c>
      <c r="AK1" s="11" t="s">
        <v>106</v>
      </c>
      <c r="AL1" s="1" t="s">
        <v>39</v>
      </c>
      <c r="AM1" s="1" t="s">
        <v>95</v>
      </c>
      <c r="AN1" s="1" t="s">
        <v>96</v>
      </c>
      <c r="AO1" s="1" t="s">
        <v>97</v>
      </c>
      <c r="AP1" s="1" t="s">
        <v>98</v>
      </c>
      <c r="AQ1" s="20" t="s">
        <v>107</v>
      </c>
      <c r="AR1" s="17" t="s">
        <v>108</v>
      </c>
      <c r="AS1" s="1" t="s">
        <v>99</v>
      </c>
      <c r="AT1" s="20" t="s">
        <v>111</v>
      </c>
      <c r="AU1" s="12" t="s">
        <v>112</v>
      </c>
      <c r="AV1" s="1" t="s">
        <v>100</v>
      </c>
      <c r="AW1" s="1" t="s">
        <v>119</v>
      </c>
      <c r="AX1" s="1" t="s">
        <v>102</v>
      </c>
      <c r="AY1" s="1" t="s">
        <v>120</v>
      </c>
      <c r="AZ1" s="1" t="s">
        <v>104</v>
      </c>
      <c r="BA1" s="1" t="s">
        <v>121</v>
      </c>
      <c r="BB1" s="17" t="s">
        <v>110</v>
      </c>
      <c r="BC1" s="20" t="s">
        <v>122</v>
      </c>
      <c r="BD1" s="1" t="s">
        <v>40</v>
      </c>
      <c r="BE1" s="1" t="s">
        <v>41</v>
      </c>
      <c r="BF1" s="17" t="s">
        <v>113</v>
      </c>
      <c r="BG1" s="20" t="s">
        <v>123</v>
      </c>
      <c r="BH1" s="1" t="s">
        <v>42</v>
      </c>
      <c r="BI1" s="1" t="s">
        <v>43</v>
      </c>
      <c r="BJ1" s="20" t="s">
        <v>115</v>
      </c>
      <c r="BK1" s="17" t="s">
        <v>132</v>
      </c>
      <c r="BL1" s="1" t="s">
        <v>73</v>
      </c>
      <c r="BM1" s="1" t="s">
        <v>92</v>
      </c>
      <c r="BN1" s="1" t="s">
        <v>93</v>
      </c>
    </row>
    <row r="2" spans="1:66" x14ac:dyDescent="0.2">
      <c r="A2" s="2" t="s">
        <v>173</v>
      </c>
      <c r="B2" s="2">
        <v>50</v>
      </c>
      <c r="C2" s="6">
        <v>21.97</v>
      </c>
      <c r="D2" s="2" t="s">
        <v>45</v>
      </c>
      <c r="E2" s="2" t="s">
        <v>48</v>
      </c>
      <c r="F2" s="2" t="s">
        <v>54</v>
      </c>
      <c r="G2" s="2">
        <v>14</v>
      </c>
      <c r="H2" s="2">
        <v>26</v>
      </c>
      <c r="I2" s="2">
        <v>5</v>
      </c>
      <c r="J2" s="2" t="s">
        <v>59</v>
      </c>
      <c r="K2" s="2">
        <v>6</v>
      </c>
      <c r="L2" s="2" t="s">
        <v>63</v>
      </c>
      <c r="M2" s="2" t="s">
        <v>131</v>
      </c>
      <c r="N2" s="2" t="s">
        <v>130</v>
      </c>
      <c r="O2" s="2" t="s">
        <v>131</v>
      </c>
      <c r="P2" s="2" t="s">
        <v>130</v>
      </c>
      <c r="Q2" s="2" t="s">
        <v>130</v>
      </c>
      <c r="R2" s="2" t="s">
        <v>130</v>
      </c>
      <c r="S2" s="2" t="s">
        <v>130</v>
      </c>
      <c r="T2" s="2" t="s">
        <v>131</v>
      </c>
      <c r="U2" s="2" t="s">
        <v>130</v>
      </c>
      <c r="V2" s="2" t="s">
        <v>131</v>
      </c>
      <c r="W2" s="2" t="s">
        <v>7</v>
      </c>
      <c r="X2" s="2" t="s">
        <v>29</v>
      </c>
      <c r="Y2" s="2">
        <v>10</v>
      </c>
      <c r="Z2" s="2">
        <v>0</v>
      </c>
      <c r="AA2" s="2" t="s">
        <v>32</v>
      </c>
      <c r="AB2" s="2" t="s">
        <v>21</v>
      </c>
      <c r="AC2" s="2" t="s">
        <v>9</v>
      </c>
      <c r="AD2" s="2" t="s">
        <v>14</v>
      </c>
      <c r="AE2" s="2" t="s">
        <v>6</v>
      </c>
      <c r="AF2" s="2" t="s">
        <v>19</v>
      </c>
      <c r="AG2" s="2">
        <v>6</v>
      </c>
      <c r="AH2" s="8" t="str">
        <f>IF(AG2&gt;6,"Yes","No")</f>
        <v>No</v>
      </c>
      <c r="AI2" s="2">
        <v>5.33</v>
      </c>
      <c r="AJ2" s="2">
        <v>13.6</v>
      </c>
      <c r="AK2" s="8" t="str">
        <f>IF(AJ2&lt;12,"Yes","No")</f>
        <v>No</v>
      </c>
      <c r="AL2" s="2">
        <v>42.6</v>
      </c>
      <c r="AM2" s="2">
        <v>79.900000000000006</v>
      </c>
      <c r="AN2" s="2">
        <v>25.5</v>
      </c>
      <c r="AO2" s="2">
        <v>31.9</v>
      </c>
      <c r="AP2" s="2">
        <v>186</v>
      </c>
      <c r="AQ2" s="8" t="str">
        <f>IF(AP2&gt;400,"Yes","No")</f>
        <v>No</v>
      </c>
      <c r="AR2" s="10" t="str">
        <f>IF(AP2&lt;150,"Yes","No")</f>
        <v>No</v>
      </c>
      <c r="AS2" s="2">
        <v>4.59</v>
      </c>
      <c r="AT2" s="8" t="str">
        <f>IF(AS2&gt;10,"Yes","No")</f>
        <v>No</v>
      </c>
      <c r="AU2" s="10" t="str">
        <f>IF(AS2&lt;4,"Yes","No")</f>
        <v>No</v>
      </c>
      <c r="AV2" s="2">
        <v>2.37</v>
      </c>
      <c r="AW2" s="2">
        <v>51.6</v>
      </c>
      <c r="AX2" s="2">
        <v>0.01</v>
      </c>
      <c r="AY2" s="2">
        <v>0.2</v>
      </c>
      <c r="AZ2" s="2">
        <v>0.03</v>
      </c>
      <c r="BA2" s="2">
        <v>0.7</v>
      </c>
      <c r="BB2" s="10" t="str">
        <f>IF(AV2&lt;2,"Yes","No")</f>
        <v>No</v>
      </c>
      <c r="BC2" s="8" t="str">
        <f>IF(AV2&gt;7.5,"Yes","No")</f>
        <v>No</v>
      </c>
      <c r="BD2" s="2">
        <v>1.69</v>
      </c>
      <c r="BE2" s="2">
        <v>36.799999999999997</v>
      </c>
      <c r="BF2" s="10" t="str">
        <f>IF(BD2&lt;1,"Yes","No")</f>
        <v>No</v>
      </c>
      <c r="BG2" s="8" t="str">
        <f>IF(BD2&gt;4,"Yes","No")</f>
        <v>No</v>
      </c>
      <c r="BH2" s="2">
        <v>0.49</v>
      </c>
      <c r="BI2" s="2">
        <v>10.7</v>
      </c>
      <c r="BJ2" s="8" t="str">
        <f>IF(BH2&gt;1,"Yes","No")</f>
        <v>No</v>
      </c>
      <c r="BK2" s="10" t="str">
        <f>IF(BH2&lt;0.2,"Yes","No")</f>
        <v>No</v>
      </c>
      <c r="BL2" s="2">
        <f>IF(BD2=0," ",AV2/BD2)</f>
        <v>1.4023668639053255</v>
      </c>
      <c r="BM2" s="2">
        <f>BH2/BD2</f>
        <v>0.28994082840236685</v>
      </c>
      <c r="BN2" s="2">
        <f>AP2/BD2</f>
        <v>110.05917159763314</v>
      </c>
    </row>
    <row r="3" spans="1:66" x14ac:dyDescent="0.2">
      <c r="A3" s="2" t="s">
        <v>174</v>
      </c>
      <c r="B3" s="2">
        <v>69</v>
      </c>
      <c r="C3" s="6">
        <v>19.61</v>
      </c>
      <c r="D3" s="2" t="s">
        <v>45</v>
      </c>
      <c r="E3" s="2" t="s">
        <v>48</v>
      </c>
      <c r="F3" s="2" t="s">
        <v>55</v>
      </c>
      <c r="G3" s="2">
        <v>14</v>
      </c>
      <c r="H3" s="2">
        <v>20</v>
      </c>
      <c r="I3" s="2">
        <v>0</v>
      </c>
      <c r="J3" s="2" t="s">
        <v>61</v>
      </c>
      <c r="K3" s="2">
        <v>0</v>
      </c>
      <c r="L3" s="2" t="s">
        <v>64</v>
      </c>
      <c r="M3" s="2" t="s">
        <v>130</v>
      </c>
      <c r="N3" s="2" t="s">
        <v>130</v>
      </c>
      <c r="O3" s="2" t="s">
        <v>131</v>
      </c>
      <c r="P3" s="2" t="s">
        <v>130</v>
      </c>
      <c r="Q3" s="2" t="s">
        <v>130</v>
      </c>
      <c r="R3" s="2" t="s">
        <v>130</v>
      </c>
      <c r="S3" s="2" t="s">
        <v>130</v>
      </c>
      <c r="T3" s="2" t="s">
        <v>131</v>
      </c>
      <c r="U3" s="2" t="s">
        <v>130</v>
      </c>
      <c r="V3" s="2" t="s">
        <v>130</v>
      </c>
      <c r="W3" s="2" t="s">
        <v>7</v>
      </c>
      <c r="X3" s="2" t="s">
        <v>29</v>
      </c>
      <c r="Y3" s="2">
        <v>80</v>
      </c>
      <c r="Z3" s="2">
        <v>0</v>
      </c>
      <c r="AA3" s="2" t="s">
        <v>32</v>
      </c>
      <c r="AB3" s="2" t="s">
        <v>8</v>
      </c>
      <c r="AC3" s="2" t="s">
        <v>20</v>
      </c>
      <c r="AD3" s="2" t="s">
        <v>14</v>
      </c>
      <c r="AE3" s="2" t="s">
        <v>6</v>
      </c>
      <c r="AF3" s="2" t="s">
        <v>19</v>
      </c>
      <c r="AG3" s="2">
        <v>17.399999999999999</v>
      </c>
      <c r="AH3" s="8" t="str">
        <f t="shared" ref="AH3:AH41" si="0">IF(AG3&gt;6,"Yes","No")</f>
        <v>Yes</v>
      </c>
      <c r="AI3" s="2">
        <v>4.72</v>
      </c>
      <c r="AJ3" s="2">
        <v>13.2</v>
      </c>
      <c r="AK3" s="8" t="str">
        <f t="shared" ref="AK3:AK41" si="1">IF(AJ3&lt;12,"Yes","No")</f>
        <v>No</v>
      </c>
      <c r="AL3" s="2">
        <v>41.5</v>
      </c>
      <c r="AM3" s="2">
        <v>87.9</v>
      </c>
      <c r="AN3" s="2">
        <v>28</v>
      </c>
      <c r="AO3" s="2">
        <v>31.8</v>
      </c>
      <c r="AP3" s="2">
        <v>315</v>
      </c>
      <c r="AQ3" s="8" t="str">
        <f t="shared" ref="AQ3:AQ41" si="2">IF(AP3&gt;400,"Yes","No")</f>
        <v>No</v>
      </c>
      <c r="AR3" s="10" t="str">
        <f t="shared" ref="AR3:AR41" si="3">IF(AP3&lt;150,"Yes","No")</f>
        <v>No</v>
      </c>
      <c r="AS3" s="2">
        <v>6.81</v>
      </c>
      <c r="AT3" s="8" t="str">
        <f t="shared" ref="AT3:AT41" si="4">IF(AS3&gt;10,"Yes","No")</f>
        <v>No</v>
      </c>
      <c r="AU3" s="10" t="str">
        <f t="shared" ref="AU3:AU41" si="5">IF(AS3&lt;4,"Yes","No")</f>
        <v>No</v>
      </c>
      <c r="AV3" s="2">
        <v>3.4</v>
      </c>
      <c r="AW3" s="2">
        <v>49.9</v>
      </c>
      <c r="AX3" s="2">
        <v>0.02</v>
      </c>
      <c r="AY3" s="2">
        <v>0.3</v>
      </c>
      <c r="AZ3" s="2">
        <v>0.02</v>
      </c>
      <c r="BA3" s="2">
        <v>0.3</v>
      </c>
      <c r="BB3" s="10" t="str">
        <f t="shared" ref="BB3:BB41" si="6">IF(AV3&lt;2,"Yes","No")</f>
        <v>No</v>
      </c>
      <c r="BC3" s="8" t="str">
        <f t="shared" ref="BC3:BC41" si="7">IF(AV3&gt;7.5,"Yes","No")</f>
        <v>No</v>
      </c>
      <c r="BD3" s="2">
        <v>2.9</v>
      </c>
      <c r="BE3" s="2">
        <v>42.6</v>
      </c>
      <c r="BF3" s="10" t="str">
        <f t="shared" ref="BF3:BF41" si="8">IF(BD3&lt;1,"Yes","No")</f>
        <v>No</v>
      </c>
      <c r="BG3" s="8" t="str">
        <f t="shared" ref="BG3:BG41" si="9">IF(BD3&gt;4,"Yes","No")</f>
        <v>No</v>
      </c>
      <c r="BH3" s="2">
        <v>0.47</v>
      </c>
      <c r="BI3" s="2">
        <v>6.9</v>
      </c>
      <c r="BJ3" s="8" t="str">
        <f t="shared" ref="BJ3:BJ41" si="10">IF(BH3&gt;1,"Yes","No")</f>
        <v>No</v>
      </c>
      <c r="BK3" s="10" t="str">
        <f t="shared" ref="BK3:BK41" si="11">IF(BH3&lt;0.2,"Yes","No")</f>
        <v>No</v>
      </c>
      <c r="BL3" s="2">
        <f t="shared" ref="BL3:BL41" si="12">IF(BD3=0," ",AV3/BD3)</f>
        <v>1.1724137931034482</v>
      </c>
      <c r="BM3" s="2">
        <f t="shared" ref="BM3:BM41" si="13">BH3/BD3</f>
        <v>0.16206896551724137</v>
      </c>
      <c r="BN3" s="2">
        <f t="shared" ref="BN3:BN41" si="14">AP3/BD3</f>
        <v>108.62068965517241</v>
      </c>
    </row>
    <row r="4" spans="1:66" x14ac:dyDescent="0.2">
      <c r="A4" s="2" t="s">
        <v>175</v>
      </c>
      <c r="B4" s="2">
        <v>37</v>
      </c>
      <c r="C4" s="6">
        <v>23.93</v>
      </c>
      <c r="D4" s="2" t="s">
        <v>45</v>
      </c>
      <c r="E4" s="2" t="s">
        <v>48</v>
      </c>
      <c r="F4" s="2" t="s">
        <v>55</v>
      </c>
      <c r="G4" s="2">
        <v>15</v>
      </c>
      <c r="H4" s="2">
        <v>17</v>
      </c>
      <c r="I4" s="2">
        <v>6</v>
      </c>
      <c r="J4" s="2" t="s">
        <v>59</v>
      </c>
      <c r="K4" s="2">
        <v>5</v>
      </c>
      <c r="L4" s="2" t="s">
        <v>63</v>
      </c>
      <c r="M4" s="2" t="s">
        <v>131</v>
      </c>
      <c r="N4" s="2" t="s">
        <v>130</v>
      </c>
      <c r="O4" s="3" t="s">
        <v>130</v>
      </c>
      <c r="P4" s="2" t="s">
        <v>130</v>
      </c>
      <c r="Q4" s="2" t="s">
        <v>130</v>
      </c>
      <c r="R4" s="2" t="s">
        <v>130</v>
      </c>
      <c r="S4" s="2" t="s">
        <v>130</v>
      </c>
      <c r="T4" s="2" t="s">
        <v>131</v>
      </c>
      <c r="U4" s="2" t="s">
        <v>130</v>
      </c>
      <c r="V4" s="2" t="s">
        <v>130</v>
      </c>
      <c r="W4" s="2" t="s">
        <v>7</v>
      </c>
      <c r="X4" s="2">
        <v>10</v>
      </c>
      <c r="Y4" s="2">
        <v>80</v>
      </c>
      <c r="Z4" s="2">
        <v>80</v>
      </c>
      <c r="AA4" s="2" t="s">
        <v>32</v>
      </c>
      <c r="AB4" s="2" t="s">
        <v>8</v>
      </c>
      <c r="AC4" s="2" t="s">
        <v>18</v>
      </c>
      <c r="AD4" s="2" t="s">
        <v>14</v>
      </c>
      <c r="AE4" s="2" t="s">
        <v>6</v>
      </c>
      <c r="AF4" s="2" t="s">
        <v>19</v>
      </c>
      <c r="AG4" s="2">
        <v>3.7</v>
      </c>
      <c r="AH4" s="8" t="str">
        <f t="shared" si="0"/>
        <v>No</v>
      </c>
      <c r="AI4" s="2">
        <v>5.0199999999999996</v>
      </c>
      <c r="AJ4" s="2">
        <v>14.2</v>
      </c>
      <c r="AK4" s="8" t="str">
        <f t="shared" si="1"/>
        <v>No</v>
      </c>
      <c r="AL4" s="2">
        <v>43.4</v>
      </c>
      <c r="AM4" s="2">
        <v>86.5</v>
      </c>
      <c r="AN4" s="2">
        <v>28.3</v>
      </c>
      <c r="AO4" s="2">
        <v>32.700000000000003</v>
      </c>
      <c r="AP4" s="2">
        <v>288</v>
      </c>
      <c r="AQ4" s="8" t="str">
        <f t="shared" si="2"/>
        <v>No</v>
      </c>
      <c r="AR4" s="10" t="str">
        <f t="shared" si="3"/>
        <v>No</v>
      </c>
      <c r="AS4" s="2">
        <v>5.5</v>
      </c>
      <c r="AT4" s="8" t="str">
        <f t="shared" si="4"/>
        <v>No</v>
      </c>
      <c r="AU4" s="10" t="str">
        <f t="shared" si="5"/>
        <v>No</v>
      </c>
      <c r="AV4" s="2">
        <v>3.43</v>
      </c>
      <c r="AW4" s="2">
        <v>62.3</v>
      </c>
      <c r="AX4" s="2">
        <v>0.02</v>
      </c>
      <c r="AY4" s="2">
        <v>1.1000000000000001</v>
      </c>
      <c r="AZ4" s="2">
        <v>0.06</v>
      </c>
      <c r="BA4" s="2">
        <v>1.1000000000000001</v>
      </c>
      <c r="BB4" s="10" t="str">
        <f t="shared" si="6"/>
        <v>No</v>
      </c>
      <c r="BC4" s="8" t="str">
        <f t="shared" si="7"/>
        <v>No</v>
      </c>
      <c r="BD4" s="2">
        <v>1.53</v>
      </c>
      <c r="BE4" s="2">
        <v>27.8</v>
      </c>
      <c r="BF4" s="10" t="str">
        <f t="shared" si="8"/>
        <v>No</v>
      </c>
      <c r="BG4" s="8" t="str">
        <f t="shared" si="9"/>
        <v>No</v>
      </c>
      <c r="BH4" s="2">
        <v>0.46</v>
      </c>
      <c r="BI4" s="2">
        <v>8.4</v>
      </c>
      <c r="BJ4" s="8" t="str">
        <f t="shared" si="10"/>
        <v>No</v>
      </c>
      <c r="BK4" s="10" t="str">
        <f t="shared" si="11"/>
        <v>No</v>
      </c>
      <c r="BL4" s="2">
        <f t="shared" si="12"/>
        <v>2.2418300653594772</v>
      </c>
      <c r="BM4" s="2">
        <f t="shared" si="13"/>
        <v>0.30065359477124182</v>
      </c>
      <c r="BN4" s="2">
        <f t="shared" si="14"/>
        <v>188.23529411764704</v>
      </c>
    </row>
    <row r="5" spans="1:66" x14ac:dyDescent="0.2">
      <c r="A5" s="2" t="s">
        <v>171</v>
      </c>
      <c r="B5" s="2">
        <v>52</v>
      </c>
      <c r="C5" s="6">
        <v>39.380000000000003</v>
      </c>
      <c r="D5" s="2" t="s">
        <v>45</v>
      </c>
      <c r="E5" s="2" t="s">
        <v>48</v>
      </c>
      <c r="F5" s="2" t="s">
        <v>55</v>
      </c>
      <c r="G5" s="2">
        <v>17</v>
      </c>
      <c r="H5" s="2">
        <v>21</v>
      </c>
      <c r="I5" s="2">
        <v>6</v>
      </c>
      <c r="J5" s="2" t="s">
        <v>59</v>
      </c>
      <c r="K5" s="2">
        <v>6</v>
      </c>
      <c r="L5" s="2" t="s">
        <v>63</v>
      </c>
      <c r="M5" s="2" t="s">
        <v>130</v>
      </c>
      <c r="N5" s="2" t="s">
        <v>130</v>
      </c>
      <c r="O5" s="2" t="s">
        <v>131</v>
      </c>
      <c r="P5" s="2" t="s">
        <v>130</v>
      </c>
      <c r="Q5" s="2" t="s">
        <v>130</v>
      </c>
      <c r="R5" s="2" t="s">
        <v>130</v>
      </c>
      <c r="S5" s="2" t="s">
        <v>130</v>
      </c>
      <c r="T5" s="2" t="s">
        <v>131</v>
      </c>
      <c r="U5" s="2" t="s">
        <v>131</v>
      </c>
      <c r="V5" s="2" t="s">
        <v>130</v>
      </c>
      <c r="W5" s="2" t="s">
        <v>12</v>
      </c>
      <c r="X5" s="2">
        <v>5</v>
      </c>
      <c r="Y5" s="2">
        <v>20</v>
      </c>
      <c r="Z5" s="2">
        <v>40</v>
      </c>
      <c r="AA5" s="2" t="s">
        <v>32</v>
      </c>
      <c r="AB5" s="2" t="s">
        <v>8</v>
      </c>
      <c r="AC5" s="2" t="s">
        <v>9</v>
      </c>
      <c r="AD5" s="2" t="s">
        <v>14</v>
      </c>
      <c r="AE5" s="2" t="s">
        <v>6</v>
      </c>
      <c r="AF5" s="2" t="s">
        <v>19</v>
      </c>
      <c r="AG5" s="2">
        <v>30.1</v>
      </c>
      <c r="AH5" s="8" t="str">
        <f t="shared" si="0"/>
        <v>Yes</v>
      </c>
      <c r="AI5" s="2">
        <v>5.22</v>
      </c>
      <c r="AJ5" s="2">
        <v>14</v>
      </c>
      <c r="AK5" s="8" t="str">
        <f t="shared" si="1"/>
        <v>No</v>
      </c>
      <c r="AL5" s="2">
        <v>44</v>
      </c>
      <c r="AM5" s="2">
        <v>84.3</v>
      </c>
      <c r="AN5" s="2">
        <v>26.8</v>
      </c>
      <c r="AO5" s="2">
        <v>31.8</v>
      </c>
      <c r="AP5" s="2">
        <v>289</v>
      </c>
      <c r="AQ5" s="8" t="str">
        <f t="shared" si="2"/>
        <v>No</v>
      </c>
      <c r="AR5" s="10" t="str">
        <f t="shared" si="3"/>
        <v>No</v>
      </c>
      <c r="AS5" s="2">
        <v>4.6500000000000004</v>
      </c>
      <c r="AT5" s="8" t="str">
        <f t="shared" si="4"/>
        <v>No</v>
      </c>
      <c r="AU5" s="10" t="str">
        <f t="shared" si="5"/>
        <v>No</v>
      </c>
      <c r="AV5" s="2">
        <v>2.09</v>
      </c>
      <c r="AW5" s="2">
        <v>45</v>
      </c>
      <c r="AX5" s="2">
        <v>0.16</v>
      </c>
      <c r="AY5" s="2">
        <v>3.4</v>
      </c>
      <c r="AZ5" s="2">
        <v>0.03</v>
      </c>
      <c r="BA5" s="2">
        <v>0.6</v>
      </c>
      <c r="BB5" s="10" t="str">
        <f t="shared" si="6"/>
        <v>No</v>
      </c>
      <c r="BC5" s="8" t="str">
        <f t="shared" si="7"/>
        <v>No</v>
      </c>
      <c r="BD5" s="2">
        <v>1.8</v>
      </c>
      <c r="BE5" s="2">
        <v>38.700000000000003</v>
      </c>
      <c r="BF5" s="10" t="str">
        <f t="shared" si="8"/>
        <v>No</v>
      </c>
      <c r="BG5" s="8" t="str">
        <f t="shared" si="9"/>
        <v>No</v>
      </c>
      <c r="BH5" s="2">
        <v>0.56999999999999995</v>
      </c>
      <c r="BI5" s="2">
        <v>12.3</v>
      </c>
      <c r="BJ5" s="8" t="str">
        <f t="shared" si="10"/>
        <v>No</v>
      </c>
      <c r="BK5" s="10" t="str">
        <f t="shared" si="11"/>
        <v>No</v>
      </c>
      <c r="BL5" s="2">
        <f t="shared" si="12"/>
        <v>1.161111111111111</v>
      </c>
      <c r="BM5" s="2">
        <f t="shared" si="13"/>
        <v>0.31666666666666665</v>
      </c>
      <c r="BN5" s="2">
        <f t="shared" si="14"/>
        <v>160.55555555555554</v>
      </c>
    </row>
    <row r="6" spans="1:66" x14ac:dyDescent="0.2">
      <c r="A6" s="2" t="s">
        <v>172</v>
      </c>
      <c r="B6" s="2">
        <v>65</v>
      </c>
      <c r="C6" s="6">
        <v>33.19</v>
      </c>
      <c r="D6" s="2" t="s">
        <v>75</v>
      </c>
      <c r="E6" s="2" t="s">
        <v>47</v>
      </c>
      <c r="F6" s="2" t="s">
        <v>55</v>
      </c>
      <c r="G6" s="2">
        <v>14</v>
      </c>
      <c r="H6" s="2">
        <v>22</v>
      </c>
      <c r="I6" s="2">
        <v>5</v>
      </c>
      <c r="J6" s="2" t="s">
        <v>59</v>
      </c>
      <c r="K6" s="2">
        <v>5</v>
      </c>
      <c r="L6" s="2" t="s">
        <v>63</v>
      </c>
      <c r="M6" s="2" t="s">
        <v>130</v>
      </c>
      <c r="N6" s="2" t="s">
        <v>130</v>
      </c>
      <c r="O6" s="2" t="s">
        <v>131</v>
      </c>
      <c r="P6" s="2" t="s">
        <v>130</v>
      </c>
      <c r="Q6" s="2" t="s">
        <v>131</v>
      </c>
      <c r="R6" s="2" t="s">
        <v>130</v>
      </c>
      <c r="S6" s="2" t="s">
        <v>130</v>
      </c>
      <c r="T6" s="2" t="s">
        <v>131</v>
      </c>
      <c r="U6" s="2" t="s">
        <v>131</v>
      </c>
      <c r="V6" s="2" t="s">
        <v>131</v>
      </c>
      <c r="W6" s="2" t="s">
        <v>12</v>
      </c>
      <c r="X6" s="2">
        <v>20</v>
      </c>
      <c r="Y6" s="2">
        <v>60</v>
      </c>
      <c r="Z6" s="2">
        <v>40</v>
      </c>
      <c r="AA6" s="2" t="s">
        <v>32</v>
      </c>
      <c r="AB6" s="2" t="s">
        <v>13</v>
      </c>
      <c r="AC6" s="2" t="s">
        <v>9</v>
      </c>
      <c r="AD6" s="2" t="s">
        <v>14</v>
      </c>
      <c r="AE6" s="2" t="s">
        <v>6</v>
      </c>
      <c r="AF6" s="2" t="s">
        <v>15</v>
      </c>
      <c r="AG6" s="2">
        <v>19.399999999999999</v>
      </c>
      <c r="AH6" s="8" t="str">
        <f t="shared" si="0"/>
        <v>Yes</v>
      </c>
      <c r="AI6" s="2">
        <v>4.57</v>
      </c>
      <c r="AJ6" s="2">
        <v>13</v>
      </c>
      <c r="AK6" s="8" t="str">
        <f t="shared" si="1"/>
        <v>No</v>
      </c>
      <c r="AL6" s="2">
        <v>42</v>
      </c>
      <c r="AM6" s="2">
        <v>91.9</v>
      </c>
      <c r="AN6" s="2">
        <v>28.4</v>
      </c>
      <c r="AO6" s="2">
        <v>31</v>
      </c>
      <c r="AP6" s="2">
        <v>358</v>
      </c>
      <c r="AQ6" s="8" t="str">
        <f t="shared" si="2"/>
        <v>No</v>
      </c>
      <c r="AR6" s="10" t="str">
        <f t="shared" si="3"/>
        <v>No</v>
      </c>
      <c r="AS6" s="2">
        <v>8</v>
      </c>
      <c r="AT6" s="8" t="str">
        <f t="shared" si="4"/>
        <v>No</v>
      </c>
      <c r="AU6" s="10" t="str">
        <f t="shared" si="5"/>
        <v>No</v>
      </c>
      <c r="AV6" s="2">
        <v>2.74</v>
      </c>
      <c r="AW6" s="2">
        <v>34.200000000000003</v>
      </c>
      <c r="AX6" s="2">
        <v>0.16</v>
      </c>
      <c r="AY6" s="2">
        <v>2</v>
      </c>
      <c r="AZ6" s="2">
        <v>0.03</v>
      </c>
      <c r="BA6" s="2">
        <v>0.4</v>
      </c>
      <c r="BB6" s="10" t="str">
        <f t="shared" si="6"/>
        <v>No</v>
      </c>
      <c r="BC6" s="8" t="str">
        <f t="shared" si="7"/>
        <v>No</v>
      </c>
      <c r="BD6" s="2">
        <v>4.42</v>
      </c>
      <c r="BE6" s="2">
        <v>55.3</v>
      </c>
      <c r="BF6" s="10" t="str">
        <f t="shared" si="8"/>
        <v>No</v>
      </c>
      <c r="BG6" s="8" t="str">
        <f t="shared" si="9"/>
        <v>Yes</v>
      </c>
      <c r="BH6" s="2">
        <v>0.65</v>
      </c>
      <c r="BI6" s="2">
        <v>8.1</v>
      </c>
      <c r="BJ6" s="8" t="str">
        <f t="shared" si="10"/>
        <v>No</v>
      </c>
      <c r="BK6" s="10" t="str">
        <f t="shared" si="11"/>
        <v>No</v>
      </c>
      <c r="BL6" s="2">
        <f t="shared" si="12"/>
        <v>0.61990950226244346</v>
      </c>
      <c r="BM6" s="2">
        <f t="shared" si="13"/>
        <v>0.14705882352941177</v>
      </c>
      <c r="BN6" s="2">
        <f t="shared" si="14"/>
        <v>80.995475113122168</v>
      </c>
    </row>
    <row r="7" spans="1:66" x14ac:dyDescent="0.2">
      <c r="A7" s="2" t="s">
        <v>176</v>
      </c>
      <c r="B7" s="2">
        <v>35</v>
      </c>
      <c r="C7" s="6">
        <v>15.32</v>
      </c>
      <c r="D7" s="2" t="s">
        <v>45</v>
      </c>
      <c r="E7" s="2" t="s">
        <v>47</v>
      </c>
      <c r="F7" s="2" t="s">
        <v>55</v>
      </c>
      <c r="G7" s="2">
        <v>14</v>
      </c>
      <c r="H7" s="2">
        <v>21</v>
      </c>
      <c r="I7" s="2">
        <v>5</v>
      </c>
      <c r="J7" s="2" t="s">
        <v>59</v>
      </c>
      <c r="K7" s="2">
        <v>2</v>
      </c>
      <c r="L7" s="2" t="s">
        <v>63</v>
      </c>
      <c r="M7" s="2" t="s">
        <v>131</v>
      </c>
      <c r="N7" s="2" t="s">
        <v>130</v>
      </c>
      <c r="O7" s="3" t="s">
        <v>130</v>
      </c>
      <c r="P7" s="2" t="s">
        <v>131</v>
      </c>
      <c r="Q7" s="2" t="s">
        <v>131</v>
      </c>
      <c r="R7" s="2" t="s">
        <v>130</v>
      </c>
      <c r="S7" s="2" t="s">
        <v>130</v>
      </c>
      <c r="T7" s="2" t="s">
        <v>131</v>
      </c>
      <c r="U7" s="2" t="s">
        <v>130</v>
      </c>
      <c r="V7" s="2" t="s">
        <v>130</v>
      </c>
      <c r="W7" s="2" t="s">
        <v>7</v>
      </c>
      <c r="X7" s="2">
        <v>10</v>
      </c>
      <c r="Y7" s="2">
        <v>5</v>
      </c>
      <c r="Z7" s="2">
        <v>5</v>
      </c>
      <c r="AA7" s="2" t="s">
        <v>32</v>
      </c>
      <c r="AB7" s="2" t="s">
        <v>8</v>
      </c>
      <c r="AC7" s="2" t="s">
        <v>22</v>
      </c>
      <c r="AD7" s="2" t="s">
        <v>10</v>
      </c>
      <c r="AE7" s="2" t="s">
        <v>5</v>
      </c>
      <c r="AF7" s="2" t="s">
        <v>11</v>
      </c>
      <c r="AG7" s="2">
        <v>44.2</v>
      </c>
      <c r="AH7" s="8" t="str">
        <f t="shared" si="0"/>
        <v>Yes</v>
      </c>
      <c r="AI7" s="2">
        <v>4.68</v>
      </c>
      <c r="AJ7" s="2">
        <v>13.05</v>
      </c>
      <c r="AK7" s="8" t="str">
        <f t="shared" si="1"/>
        <v>No</v>
      </c>
      <c r="AL7" s="2">
        <v>39.81</v>
      </c>
      <c r="AM7" s="2">
        <v>85.09</v>
      </c>
      <c r="AN7" s="2">
        <v>27.94</v>
      </c>
      <c r="AO7" s="2">
        <v>32.82</v>
      </c>
      <c r="AP7" s="2">
        <v>272</v>
      </c>
      <c r="AQ7" s="8" t="str">
        <f t="shared" si="2"/>
        <v>No</v>
      </c>
      <c r="AR7" s="10" t="str">
        <f t="shared" si="3"/>
        <v>No</v>
      </c>
      <c r="AS7" s="2">
        <v>5.61</v>
      </c>
      <c r="AT7" s="8" t="str">
        <f t="shared" si="4"/>
        <v>No</v>
      </c>
      <c r="AU7" s="10" t="str">
        <f t="shared" si="5"/>
        <v>No</v>
      </c>
      <c r="AV7" s="2">
        <v>2.94</v>
      </c>
      <c r="AW7" s="2">
        <v>47.48</v>
      </c>
      <c r="AX7" s="2">
        <v>0.16</v>
      </c>
      <c r="AY7" s="2">
        <v>2.15</v>
      </c>
      <c r="AZ7" s="2">
        <v>0.04</v>
      </c>
      <c r="BA7" s="2">
        <v>0.8</v>
      </c>
      <c r="BB7" s="10" t="str">
        <f t="shared" si="6"/>
        <v>No</v>
      </c>
      <c r="BC7" s="8" t="str">
        <f t="shared" si="7"/>
        <v>No</v>
      </c>
      <c r="BD7" s="2">
        <v>2.1</v>
      </c>
      <c r="BE7" s="2">
        <v>35.619999999999997</v>
      </c>
      <c r="BF7" s="10" t="str">
        <f t="shared" si="8"/>
        <v>No</v>
      </c>
      <c r="BG7" s="8" t="str">
        <f t="shared" si="9"/>
        <v>No</v>
      </c>
      <c r="BH7" s="2">
        <v>0.72</v>
      </c>
      <c r="BI7" s="2">
        <v>12</v>
      </c>
      <c r="BJ7" s="8" t="str">
        <f t="shared" si="10"/>
        <v>No</v>
      </c>
      <c r="BK7" s="10" t="str">
        <f t="shared" si="11"/>
        <v>No</v>
      </c>
      <c r="BL7" s="2">
        <f t="shared" si="12"/>
        <v>1.4</v>
      </c>
      <c r="BM7" s="2">
        <f t="shared" si="13"/>
        <v>0.3428571428571428</v>
      </c>
      <c r="BN7" s="2">
        <f t="shared" si="14"/>
        <v>129.52380952380952</v>
      </c>
    </row>
    <row r="8" spans="1:66" x14ac:dyDescent="0.2">
      <c r="A8" s="2" t="s">
        <v>177</v>
      </c>
      <c r="B8" s="2">
        <v>41</v>
      </c>
      <c r="C8" s="6">
        <v>26.87</v>
      </c>
      <c r="D8" s="2" t="s">
        <v>45</v>
      </c>
      <c r="E8" s="2" t="s">
        <v>48</v>
      </c>
      <c r="F8" s="2" t="s">
        <v>55</v>
      </c>
      <c r="G8" s="2">
        <v>16</v>
      </c>
      <c r="H8" s="2">
        <v>28</v>
      </c>
      <c r="I8" s="2">
        <v>1</v>
      </c>
      <c r="J8" s="2" t="s">
        <v>60</v>
      </c>
      <c r="K8" s="2">
        <v>1</v>
      </c>
      <c r="L8" s="2" t="s">
        <v>83</v>
      </c>
      <c r="M8" s="2" t="s">
        <v>130</v>
      </c>
      <c r="N8" s="2" t="s">
        <v>130</v>
      </c>
      <c r="O8" s="3" t="s">
        <v>130</v>
      </c>
      <c r="P8" s="2" t="s">
        <v>130</v>
      </c>
      <c r="Q8" s="2" t="s">
        <v>130</v>
      </c>
      <c r="R8" s="2" t="s">
        <v>130</v>
      </c>
      <c r="S8" s="2" t="s">
        <v>130</v>
      </c>
      <c r="T8" s="2" t="s">
        <v>131</v>
      </c>
      <c r="U8" s="2" t="s">
        <v>130</v>
      </c>
      <c r="V8" s="2" t="s">
        <v>130</v>
      </c>
      <c r="W8" s="2" t="s">
        <v>17</v>
      </c>
      <c r="X8" s="2">
        <v>40</v>
      </c>
      <c r="Y8" s="2">
        <v>95</v>
      </c>
      <c r="Z8" s="2">
        <v>60</v>
      </c>
      <c r="AA8" s="2" t="s">
        <v>33</v>
      </c>
      <c r="AB8" s="2" t="s">
        <v>8</v>
      </c>
      <c r="AC8" s="2" t="s">
        <v>9</v>
      </c>
      <c r="AD8" s="2" t="s">
        <v>14</v>
      </c>
      <c r="AE8" s="2" t="s">
        <v>6</v>
      </c>
      <c r="AF8" s="2" t="s">
        <v>19</v>
      </c>
      <c r="AG8" s="2">
        <v>12.3</v>
      </c>
      <c r="AH8" s="8" t="str">
        <f t="shared" si="0"/>
        <v>Yes</v>
      </c>
      <c r="AI8" s="2">
        <v>4.0599999999999996</v>
      </c>
      <c r="AJ8" s="2">
        <v>11.2</v>
      </c>
      <c r="AK8" s="8" t="str">
        <f t="shared" si="1"/>
        <v>Yes</v>
      </c>
      <c r="AL8" s="2">
        <v>34.4</v>
      </c>
      <c r="AM8" s="2">
        <v>84.7</v>
      </c>
      <c r="AN8" s="2">
        <v>27.6</v>
      </c>
      <c r="AO8" s="2">
        <v>32.6</v>
      </c>
      <c r="AP8" s="2">
        <v>197</v>
      </c>
      <c r="AQ8" s="8" t="str">
        <f t="shared" si="2"/>
        <v>No</v>
      </c>
      <c r="AR8" s="10" t="str">
        <f t="shared" si="3"/>
        <v>No</v>
      </c>
      <c r="AS8" s="2">
        <v>5</v>
      </c>
      <c r="AT8" s="8" t="str">
        <f t="shared" si="4"/>
        <v>No</v>
      </c>
      <c r="AU8" s="10" t="str">
        <f t="shared" si="5"/>
        <v>No</v>
      </c>
      <c r="AV8" s="2">
        <v>2.12</v>
      </c>
      <c r="AW8" s="2">
        <v>42.4</v>
      </c>
      <c r="AX8" s="2">
        <v>0</v>
      </c>
      <c r="AY8" s="2">
        <v>0</v>
      </c>
      <c r="AZ8" s="2">
        <v>0.03</v>
      </c>
      <c r="BA8" s="2">
        <v>0.6</v>
      </c>
      <c r="BB8" s="10" t="str">
        <f t="shared" si="6"/>
        <v>No</v>
      </c>
      <c r="BC8" s="8" t="str">
        <f t="shared" si="7"/>
        <v>No</v>
      </c>
      <c r="BD8" s="2">
        <v>1.37</v>
      </c>
      <c r="BE8" s="2">
        <v>27.4</v>
      </c>
      <c r="BF8" s="10" t="str">
        <f t="shared" si="8"/>
        <v>No</v>
      </c>
      <c r="BG8" s="8" t="str">
        <f t="shared" si="9"/>
        <v>No</v>
      </c>
      <c r="BH8" s="2">
        <v>1.48</v>
      </c>
      <c r="BI8" s="2">
        <v>29.6</v>
      </c>
      <c r="BJ8" s="8" t="str">
        <f t="shared" si="10"/>
        <v>Yes</v>
      </c>
      <c r="BK8" s="10" t="str">
        <f t="shared" si="11"/>
        <v>No</v>
      </c>
      <c r="BL8" s="2">
        <f t="shared" si="12"/>
        <v>1.5474452554744524</v>
      </c>
      <c r="BM8" s="2">
        <f t="shared" si="13"/>
        <v>1.0802919708029197</v>
      </c>
      <c r="BN8" s="2">
        <f t="shared" si="14"/>
        <v>143.79562043795619</v>
      </c>
    </row>
    <row r="9" spans="1:66" x14ac:dyDescent="0.2">
      <c r="A9" s="2" t="s">
        <v>178</v>
      </c>
      <c r="B9" s="2">
        <v>42</v>
      </c>
      <c r="C9" s="2">
        <v>24.77</v>
      </c>
      <c r="D9" s="2" t="s">
        <v>45</v>
      </c>
      <c r="E9" s="2" t="s">
        <v>76</v>
      </c>
      <c r="F9" s="2" t="s">
        <v>52</v>
      </c>
      <c r="G9" s="2">
        <v>14</v>
      </c>
      <c r="H9" s="2">
        <v>19</v>
      </c>
      <c r="I9" s="2">
        <v>0</v>
      </c>
      <c r="J9" s="2" t="s">
        <v>61</v>
      </c>
      <c r="K9" s="2">
        <v>0</v>
      </c>
      <c r="L9" s="2" t="s">
        <v>64</v>
      </c>
      <c r="M9" s="2" t="s">
        <v>130</v>
      </c>
      <c r="N9" s="2" t="s">
        <v>130</v>
      </c>
      <c r="O9" s="3" t="s">
        <v>130</v>
      </c>
      <c r="P9" s="2" t="s">
        <v>130</v>
      </c>
      <c r="Q9" s="2" t="s">
        <v>130</v>
      </c>
      <c r="R9" s="2" t="s">
        <v>130</v>
      </c>
      <c r="S9" s="2" t="s">
        <v>130</v>
      </c>
      <c r="T9" s="2" t="s">
        <v>131</v>
      </c>
      <c r="U9" s="2" t="s">
        <v>130</v>
      </c>
      <c r="V9" s="2" t="s">
        <v>130</v>
      </c>
      <c r="W9" s="2" t="s">
        <v>7</v>
      </c>
      <c r="X9" s="2">
        <v>45</v>
      </c>
      <c r="Y9" s="2">
        <v>70</v>
      </c>
      <c r="Z9" s="2">
        <v>5</v>
      </c>
      <c r="AA9" s="2" t="s">
        <v>33</v>
      </c>
      <c r="AB9" s="2" t="s">
        <v>8</v>
      </c>
      <c r="AC9" s="2" t="s">
        <v>9</v>
      </c>
      <c r="AD9" s="2" t="s">
        <v>10</v>
      </c>
      <c r="AE9" s="2" t="s">
        <v>5</v>
      </c>
      <c r="AF9" s="2" t="s">
        <v>11</v>
      </c>
      <c r="AG9" s="2">
        <v>0.9</v>
      </c>
      <c r="AH9" s="8" t="str">
        <f t="shared" si="0"/>
        <v>No</v>
      </c>
      <c r="AI9" s="2">
        <v>4.53</v>
      </c>
      <c r="AJ9" s="2">
        <v>12.8</v>
      </c>
      <c r="AK9" s="8" t="str">
        <f t="shared" si="1"/>
        <v>No</v>
      </c>
      <c r="AL9" s="2">
        <v>39.799999999999997</v>
      </c>
      <c r="AM9" s="2">
        <v>87.9</v>
      </c>
      <c r="AN9" s="2">
        <v>28.3</v>
      </c>
      <c r="AO9" s="2">
        <v>32.200000000000003</v>
      </c>
      <c r="AP9" s="2">
        <v>240</v>
      </c>
      <c r="AQ9" s="8" t="str">
        <f t="shared" si="2"/>
        <v>No</v>
      </c>
      <c r="AR9" s="10" t="str">
        <f t="shared" si="3"/>
        <v>No</v>
      </c>
      <c r="AS9" s="2">
        <v>7.56</v>
      </c>
      <c r="AT9" s="8" t="str">
        <f t="shared" si="4"/>
        <v>No</v>
      </c>
      <c r="AU9" s="10" t="str">
        <f t="shared" si="5"/>
        <v>No</v>
      </c>
      <c r="AV9" s="2">
        <v>0.9</v>
      </c>
      <c r="AW9" s="2">
        <v>11.9</v>
      </c>
      <c r="AX9" s="2">
        <v>0</v>
      </c>
      <c r="AY9" s="2">
        <v>0</v>
      </c>
      <c r="AZ9" s="2">
        <v>0.01</v>
      </c>
      <c r="BA9" s="2">
        <v>0.1</v>
      </c>
      <c r="BB9" s="10" t="str">
        <f t="shared" si="6"/>
        <v>Yes</v>
      </c>
      <c r="BC9" s="8" t="str">
        <f t="shared" si="7"/>
        <v>No</v>
      </c>
      <c r="BD9" s="2">
        <v>1.95</v>
      </c>
      <c r="BE9" s="2">
        <v>25.8</v>
      </c>
      <c r="BF9" s="10" t="str">
        <f t="shared" si="8"/>
        <v>No</v>
      </c>
      <c r="BG9" s="8" t="str">
        <f t="shared" si="9"/>
        <v>No</v>
      </c>
      <c r="BH9" s="2">
        <v>4.7</v>
      </c>
      <c r="BI9" s="2">
        <v>62.2</v>
      </c>
      <c r="BJ9" s="8" t="str">
        <f t="shared" si="10"/>
        <v>Yes</v>
      </c>
      <c r="BK9" s="10" t="str">
        <f t="shared" si="11"/>
        <v>No</v>
      </c>
      <c r="BL9" s="2">
        <f t="shared" si="12"/>
        <v>0.46153846153846156</v>
      </c>
      <c r="BM9" s="2">
        <f t="shared" si="13"/>
        <v>2.4102564102564106</v>
      </c>
      <c r="BN9" s="2">
        <f t="shared" si="14"/>
        <v>123.07692307692308</v>
      </c>
    </row>
    <row r="10" spans="1:66" x14ac:dyDescent="0.2">
      <c r="A10" s="2" t="s">
        <v>179</v>
      </c>
      <c r="B10" s="2">
        <v>40</v>
      </c>
      <c r="C10" s="2">
        <v>23.18</v>
      </c>
      <c r="D10" s="2" t="s">
        <v>45</v>
      </c>
      <c r="E10" s="2" t="s">
        <v>48</v>
      </c>
      <c r="F10" s="2" t="s">
        <v>55</v>
      </c>
      <c r="G10" s="2">
        <v>14</v>
      </c>
      <c r="H10" s="2">
        <v>18</v>
      </c>
      <c r="I10" s="2">
        <v>7</v>
      </c>
      <c r="J10" s="2" t="s">
        <v>59</v>
      </c>
      <c r="K10" s="2">
        <v>6</v>
      </c>
      <c r="L10" s="2" t="s">
        <v>63</v>
      </c>
      <c r="M10" s="2" t="s">
        <v>131</v>
      </c>
      <c r="N10" s="2" t="s">
        <v>130</v>
      </c>
      <c r="O10" s="3" t="s">
        <v>130</v>
      </c>
      <c r="P10" s="2" t="s">
        <v>131</v>
      </c>
      <c r="Q10" s="2" t="s">
        <v>131</v>
      </c>
      <c r="R10" s="2" t="s">
        <v>130</v>
      </c>
      <c r="S10" s="2" t="s">
        <v>130</v>
      </c>
      <c r="T10" s="2" t="s">
        <v>131</v>
      </c>
      <c r="U10" s="2" t="s">
        <v>130</v>
      </c>
      <c r="V10" s="2" t="s">
        <v>130</v>
      </c>
      <c r="W10" s="2" t="s">
        <v>17</v>
      </c>
      <c r="X10" s="2">
        <v>40</v>
      </c>
      <c r="Y10" s="2">
        <v>5</v>
      </c>
      <c r="Z10" s="2">
        <v>20</v>
      </c>
      <c r="AA10" s="2" t="s">
        <v>33</v>
      </c>
      <c r="AB10" s="2" t="s">
        <v>8</v>
      </c>
      <c r="AC10" s="2" t="s">
        <v>9</v>
      </c>
      <c r="AD10" s="2" t="s">
        <v>10</v>
      </c>
      <c r="AE10" s="2" t="s">
        <v>5</v>
      </c>
      <c r="AF10" s="2" t="s">
        <v>11</v>
      </c>
      <c r="AG10" s="2">
        <v>22.7</v>
      </c>
      <c r="AH10" s="8" t="str">
        <f t="shared" si="0"/>
        <v>Yes</v>
      </c>
      <c r="AI10" s="2">
        <v>5.81</v>
      </c>
      <c r="AJ10" s="2">
        <v>14.1</v>
      </c>
      <c r="AK10" s="8" t="str">
        <f t="shared" si="1"/>
        <v>No</v>
      </c>
      <c r="AL10" s="2">
        <v>45.8</v>
      </c>
      <c r="AM10" s="2">
        <v>78.8</v>
      </c>
      <c r="AN10" s="2">
        <v>24.3</v>
      </c>
      <c r="AO10" s="2">
        <v>30.8</v>
      </c>
      <c r="AP10" s="2">
        <v>269</v>
      </c>
      <c r="AQ10" s="8" t="str">
        <f t="shared" si="2"/>
        <v>No</v>
      </c>
      <c r="AR10" s="10" t="str">
        <f t="shared" si="3"/>
        <v>No</v>
      </c>
      <c r="AS10" s="2">
        <v>5.95</v>
      </c>
      <c r="AT10" s="8" t="str">
        <f t="shared" si="4"/>
        <v>No</v>
      </c>
      <c r="AU10" s="10" t="str">
        <f t="shared" si="5"/>
        <v>No</v>
      </c>
      <c r="AV10" s="2">
        <v>3.19</v>
      </c>
      <c r="AW10" s="2">
        <v>53.5</v>
      </c>
      <c r="AX10" s="2">
        <v>0.42</v>
      </c>
      <c r="AY10" s="2">
        <v>7.1</v>
      </c>
      <c r="AZ10" s="2">
        <v>0.04</v>
      </c>
      <c r="BA10" s="2">
        <v>0.7</v>
      </c>
      <c r="BB10" s="10" t="str">
        <f t="shared" si="6"/>
        <v>No</v>
      </c>
      <c r="BC10" s="8" t="str">
        <f t="shared" si="7"/>
        <v>No</v>
      </c>
      <c r="BD10" s="2">
        <v>1.85</v>
      </c>
      <c r="BE10" s="2">
        <v>31.1</v>
      </c>
      <c r="BF10" s="10" t="str">
        <f t="shared" si="8"/>
        <v>No</v>
      </c>
      <c r="BG10" s="8" t="str">
        <f t="shared" si="9"/>
        <v>No</v>
      </c>
      <c r="BH10" s="2">
        <v>0.45</v>
      </c>
      <c r="BI10" s="2">
        <v>7.6</v>
      </c>
      <c r="BJ10" s="8" t="str">
        <f t="shared" si="10"/>
        <v>No</v>
      </c>
      <c r="BK10" s="10" t="str">
        <f t="shared" si="11"/>
        <v>No</v>
      </c>
      <c r="BL10" s="2">
        <f t="shared" si="12"/>
        <v>1.7243243243243243</v>
      </c>
      <c r="BM10" s="2">
        <f t="shared" si="13"/>
        <v>0.24324324324324323</v>
      </c>
      <c r="BN10" s="2">
        <f t="shared" si="14"/>
        <v>145.40540540540539</v>
      </c>
    </row>
    <row r="11" spans="1:66" x14ac:dyDescent="0.2">
      <c r="A11" s="2" t="s">
        <v>180</v>
      </c>
      <c r="B11" s="2">
        <v>67</v>
      </c>
      <c r="C11" s="2">
        <v>29.13</v>
      </c>
      <c r="D11" s="2" t="s">
        <v>45</v>
      </c>
      <c r="E11" s="2" t="s">
        <v>48</v>
      </c>
      <c r="F11" s="2" t="s">
        <v>52</v>
      </c>
      <c r="G11" s="2">
        <v>15</v>
      </c>
      <c r="H11" s="2">
        <v>17</v>
      </c>
      <c r="I11" s="2">
        <v>8</v>
      </c>
      <c r="J11" s="2" t="s">
        <v>59</v>
      </c>
      <c r="K11" s="2">
        <v>7</v>
      </c>
      <c r="L11" s="2" t="s">
        <v>63</v>
      </c>
      <c r="M11" s="2" t="s">
        <v>131</v>
      </c>
      <c r="N11" s="2" t="s">
        <v>130</v>
      </c>
      <c r="O11" s="2" t="s">
        <v>131</v>
      </c>
      <c r="P11" s="2" t="s">
        <v>130</v>
      </c>
      <c r="Q11" s="2" t="s">
        <v>130</v>
      </c>
      <c r="R11" s="2" t="s">
        <v>130</v>
      </c>
      <c r="S11" s="2" t="s">
        <v>130</v>
      </c>
      <c r="T11" s="2" t="s">
        <v>130</v>
      </c>
      <c r="U11" s="2" t="s">
        <v>130</v>
      </c>
      <c r="V11" s="2" t="s">
        <v>131</v>
      </c>
      <c r="W11" s="2" t="s">
        <v>12</v>
      </c>
      <c r="X11" s="2">
        <v>80</v>
      </c>
      <c r="Y11" s="2">
        <v>70</v>
      </c>
      <c r="Z11" s="2">
        <v>0</v>
      </c>
      <c r="AA11" s="2" t="s">
        <v>33</v>
      </c>
      <c r="AB11" s="2" t="s">
        <v>8</v>
      </c>
      <c r="AC11" s="2" t="s">
        <v>9</v>
      </c>
      <c r="AD11" s="2" t="s">
        <v>14</v>
      </c>
      <c r="AE11" s="2" t="s">
        <v>6</v>
      </c>
      <c r="AF11" s="2" t="s">
        <v>19</v>
      </c>
      <c r="AG11" s="2">
        <v>2</v>
      </c>
      <c r="AH11" s="8" t="str">
        <f t="shared" si="0"/>
        <v>No</v>
      </c>
      <c r="AI11" s="2">
        <v>4.68</v>
      </c>
      <c r="AJ11" s="2">
        <v>13.05</v>
      </c>
      <c r="AK11" s="8" t="str">
        <f t="shared" si="1"/>
        <v>No</v>
      </c>
      <c r="AL11" s="2">
        <v>39.81</v>
      </c>
      <c r="AM11" s="2">
        <v>85.09</v>
      </c>
      <c r="AN11" s="2">
        <v>27.94</v>
      </c>
      <c r="AO11" s="2">
        <v>32.82</v>
      </c>
      <c r="AP11" s="2">
        <v>272</v>
      </c>
      <c r="AQ11" s="8" t="str">
        <f t="shared" si="2"/>
        <v>No</v>
      </c>
      <c r="AR11" s="10" t="str">
        <f t="shared" si="3"/>
        <v>No</v>
      </c>
      <c r="AS11" s="2">
        <v>5.61</v>
      </c>
      <c r="AT11" s="8" t="str">
        <f t="shared" si="4"/>
        <v>No</v>
      </c>
      <c r="AU11" s="10" t="str">
        <f t="shared" si="5"/>
        <v>No</v>
      </c>
      <c r="AV11" s="2">
        <v>2.94</v>
      </c>
      <c r="AW11" s="2">
        <v>47.48</v>
      </c>
      <c r="AX11" s="2">
        <v>0.16</v>
      </c>
      <c r="AY11" s="2">
        <v>2.15</v>
      </c>
      <c r="AZ11" s="2">
        <v>0.04</v>
      </c>
      <c r="BA11" s="2">
        <v>0.8</v>
      </c>
      <c r="BB11" s="10" t="str">
        <f t="shared" si="6"/>
        <v>No</v>
      </c>
      <c r="BC11" s="8" t="str">
        <f t="shared" si="7"/>
        <v>No</v>
      </c>
      <c r="BD11" s="2">
        <v>2.1</v>
      </c>
      <c r="BE11" s="2">
        <v>35.619999999999997</v>
      </c>
      <c r="BF11" s="10" t="str">
        <f t="shared" si="8"/>
        <v>No</v>
      </c>
      <c r="BG11" s="8" t="str">
        <f t="shared" si="9"/>
        <v>No</v>
      </c>
      <c r="BH11" s="2">
        <v>0.72</v>
      </c>
      <c r="BI11" s="2">
        <v>12</v>
      </c>
      <c r="BJ11" s="8" t="str">
        <f t="shared" si="10"/>
        <v>No</v>
      </c>
      <c r="BK11" s="10" t="str">
        <f t="shared" si="11"/>
        <v>No</v>
      </c>
      <c r="BL11" s="2">
        <f t="shared" si="12"/>
        <v>1.4</v>
      </c>
      <c r="BM11" s="2">
        <f t="shared" si="13"/>
        <v>0.3428571428571428</v>
      </c>
      <c r="BN11" s="2">
        <f t="shared" si="14"/>
        <v>129.52380952380952</v>
      </c>
    </row>
    <row r="12" spans="1:66" x14ac:dyDescent="0.2">
      <c r="A12" s="2" t="s">
        <v>181</v>
      </c>
      <c r="B12" s="2">
        <v>56</v>
      </c>
      <c r="C12" s="2">
        <v>29.3</v>
      </c>
      <c r="D12" s="2" t="s">
        <v>45</v>
      </c>
      <c r="E12" s="2" t="s">
        <v>48</v>
      </c>
      <c r="F12" s="2" t="s">
        <v>52</v>
      </c>
      <c r="G12" s="2">
        <v>15</v>
      </c>
      <c r="H12" s="2">
        <v>16</v>
      </c>
      <c r="I12" s="2">
        <v>2</v>
      </c>
      <c r="J12" s="2" t="s">
        <v>59</v>
      </c>
      <c r="K12" s="2">
        <v>0</v>
      </c>
      <c r="L12" s="2" t="s">
        <v>64</v>
      </c>
      <c r="M12" s="2" t="s">
        <v>131</v>
      </c>
      <c r="N12" s="2" t="s">
        <v>130</v>
      </c>
      <c r="O12" s="2" t="s">
        <v>131</v>
      </c>
      <c r="P12" s="2" t="s">
        <v>130</v>
      </c>
      <c r="Q12" s="2" t="s">
        <v>130</v>
      </c>
      <c r="R12" s="2" t="s">
        <v>130</v>
      </c>
      <c r="S12" s="2" t="s">
        <v>130</v>
      </c>
      <c r="T12" s="2" t="s">
        <v>131</v>
      </c>
      <c r="U12" s="2" t="s">
        <v>130</v>
      </c>
      <c r="V12" s="2" t="s">
        <v>131</v>
      </c>
      <c r="W12" s="2" t="s">
        <v>7</v>
      </c>
      <c r="X12" s="2">
        <v>40</v>
      </c>
      <c r="Y12" s="2">
        <v>95</v>
      </c>
      <c r="Z12" s="2">
        <v>70</v>
      </c>
      <c r="AA12" s="2" t="s">
        <v>33</v>
      </c>
      <c r="AB12" s="2" t="s">
        <v>21</v>
      </c>
      <c r="AC12" s="2" t="s">
        <v>9</v>
      </c>
      <c r="AD12" s="2" t="s">
        <v>14</v>
      </c>
      <c r="AE12" s="2" t="s">
        <v>6</v>
      </c>
      <c r="AF12" s="2" t="s">
        <v>19</v>
      </c>
      <c r="AG12" s="2">
        <v>11.3</v>
      </c>
      <c r="AH12" s="8" t="str">
        <f t="shared" si="0"/>
        <v>Yes</v>
      </c>
      <c r="AI12" s="2">
        <v>4.68</v>
      </c>
      <c r="AJ12" s="2">
        <v>13.05</v>
      </c>
      <c r="AK12" s="8" t="str">
        <f t="shared" si="1"/>
        <v>No</v>
      </c>
      <c r="AL12" s="2">
        <v>39.81</v>
      </c>
      <c r="AM12" s="2">
        <v>85.09</v>
      </c>
      <c r="AN12" s="2">
        <v>27.94</v>
      </c>
      <c r="AO12" s="2">
        <v>32.82</v>
      </c>
      <c r="AP12" s="2">
        <v>272</v>
      </c>
      <c r="AQ12" s="8" t="str">
        <f t="shared" si="2"/>
        <v>No</v>
      </c>
      <c r="AR12" s="10" t="str">
        <f t="shared" si="3"/>
        <v>No</v>
      </c>
      <c r="AS12" s="2">
        <v>5.61</v>
      </c>
      <c r="AT12" s="8" t="str">
        <f t="shared" si="4"/>
        <v>No</v>
      </c>
      <c r="AU12" s="10" t="str">
        <f t="shared" si="5"/>
        <v>No</v>
      </c>
      <c r="AV12" s="2">
        <v>2.94</v>
      </c>
      <c r="AW12" s="2">
        <v>47.48</v>
      </c>
      <c r="AX12" s="2">
        <v>0.16</v>
      </c>
      <c r="AY12" s="2">
        <v>2.15</v>
      </c>
      <c r="AZ12" s="2">
        <v>0.04</v>
      </c>
      <c r="BA12" s="2">
        <v>0.8</v>
      </c>
      <c r="BB12" s="10" t="str">
        <f t="shared" si="6"/>
        <v>No</v>
      </c>
      <c r="BC12" s="8" t="str">
        <f t="shared" si="7"/>
        <v>No</v>
      </c>
      <c r="BD12" s="2">
        <v>2.1</v>
      </c>
      <c r="BE12" s="2">
        <v>35.619999999999997</v>
      </c>
      <c r="BF12" s="10" t="str">
        <f t="shared" si="8"/>
        <v>No</v>
      </c>
      <c r="BG12" s="8" t="str">
        <f t="shared" si="9"/>
        <v>No</v>
      </c>
      <c r="BH12" s="2">
        <v>0.72</v>
      </c>
      <c r="BI12" s="2">
        <v>12</v>
      </c>
      <c r="BJ12" s="8" t="str">
        <f t="shared" si="10"/>
        <v>No</v>
      </c>
      <c r="BK12" s="10" t="str">
        <f t="shared" si="11"/>
        <v>No</v>
      </c>
      <c r="BL12" s="2">
        <f t="shared" si="12"/>
        <v>1.4</v>
      </c>
      <c r="BM12" s="2">
        <f t="shared" si="13"/>
        <v>0.3428571428571428</v>
      </c>
      <c r="BN12" s="2">
        <f t="shared" si="14"/>
        <v>129.52380952380952</v>
      </c>
    </row>
    <row r="13" spans="1:66" x14ac:dyDescent="0.2">
      <c r="A13" s="2" t="s">
        <v>182</v>
      </c>
      <c r="B13" s="2">
        <v>46</v>
      </c>
      <c r="C13" s="2">
        <v>31.48</v>
      </c>
      <c r="D13" s="2" t="s">
        <v>45</v>
      </c>
      <c r="E13" s="2" t="s">
        <v>48</v>
      </c>
      <c r="F13" s="2" t="s">
        <v>52</v>
      </c>
      <c r="G13" s="2">
        <v>17</v>
      </c>
      <c r="H13" s="2">
        <v>18</v>
      </c>
      <c r="I13" s="2">
        <v>5</v>
      </c>
      <c r="J13" s="2" t="s">
        <v>59</v>
      </c>
      <c r="K13" s="2">
        <v>5</v>
      </c>
      <c r="L13" s="2" t="s">
        <v>63</v>
      </c>
      <c r="M13" s="2" t="s">
        <v>130</v>
      </c>
      <c r="N13" s="2" t="s">
        <v>130</v>
      </c>
      <c r="O13" s="2" t="s">
        <v>131</v>
      </c>
      <c r="P13" s="2" t="s">
        <v>130</v>
      </c>
      <c r="Q13" s="2" t="s">
        <v>130</v>
      </c>
      <c r="R13" s="2" t="s">
        <v>130</v>
      </c>
      <c r="S13" s="2" t="s">
        <v>130</v>
      </c>
      <c r="T13" s="2" t="s">
        <v>131</v>
      </c>
      <c r="U13" s="2" t="s">
        <v>130</v>
      </c>
      <c r="V13" s="2" t="s">
        <v>130</v>
      </c>
      <c r="W13" s="2" t="s">
        <v>12</v>
      </c>
      <c r="X13" s="2">
        <v>40</v>
      </c>
      <c r="Y13" s="2">
        <v>70</v>
      </c>
      <c r="Z13" s="2">
        <v>0</v>
      </c>
      <c r="AA13" s="2" t="s">
        <v>33</v>
      </c>
      <c r="AB13" s="2" t="s">
        <v>8</v>
      </c>
      <c r="AC13" s="2" t="s">
        <v>18</v>
      </c>
      <c r="AD13" s="2" t="s">
        <v>14</v>
      </c>
      <c r="AE13" s="2" t="s">
        <v>6</v>
      </c>
      <c r="AF13" s="2" t="s">
        <v>19</v>
      </c>
      <c r="AG13" s="2">
        <v>8</v>
      </c>
      <c r="AH13" s="8" t="str">
        <f t="shared" si="0"/>
        <v>Yes</v>
      </c>
      <c r="AI13" s="2">
        <v>4.6500000000000004</v>
      </c>
      <c r="AJ13" s="2">
        <v>12.3</v>
      </c>
      <c r="AK13" s="8" t="str">
        <f t="shared" si="1"/>
        <v>No</v>
      </c>
      <c r="AL13" s="2">
        <v>35.1</v>
      </c>
      <c r="AM13" s="2">
        <v>75.5</v>
      </c>
      <c r="AN13" s="2">
        <v>26.4</v>
      </c>
      <c r="AO13" s="2">
        <v>34.9</v>
      </c>
      <c r="AP13" s="2">
        <v>190</v>
      </c>
      <c r="AQ13" s="8" t="str">
        <f t="shared" si="2"/>
        <v>No</v>
      </c>
      <c r="AR13" s="10" t="str">
        <f t="shared" si="3"/>
        <v>No</v>
      </c>
      <c r="AS13" s="2">
        <v>5.54</v>
      </c>
      <c r="AT13" s="8" t="str">
        <f t="shared" si="4"/>
        <v>No</v>
      </c>
      <c r="AU13" s="10" t="str">
        <f t="shared" si="5"/>
        <v>No</v>
      </c>
      <c r="AV13" s="2">
        <v>2.67</v>
      </c>
      <c r="AW13" s="2">
        <v>48.6</v>
      </c>
      <c r="AX13" s="2">
        <v>0.48</v>
      </c>
      <c r="AY13" s="2">
        <v>0.48</v>
      </c>
      <c r="AZ13" s="2">
        <v>0.08</v>
      </c>
      <c r="BA13" s="2">
        <v>1.5</v>
      </c>
      <c r="BB13" s="10" t="str">
        <f t="shared" si="6"/>
        <v>No</v>
      </c>
      <c r="BC13" s="8" t="str">
        <f t="shared" si="7"/>
        <v>No</v>
      </c>
      <c r="BD13" s="2">
        <v>1.53</v>
      </c>
      <c r="BE13" s="2">
        <v>27.8</v>
      </c>
      <c r="BF13" s="10" t="str">
        <f t="shared" si="8"/>
        <v>No</v>
      </c>
      <c r="BG13" s="8" t="str">
        <f t="shared" si="9"/>
        <v>No</v>
      </c>
      <c r="BH13" s="2">
        <v>0.75</v>
      </c>
      <c r="BI13" s="2">
        <v>13.5</v>
      </c>
      <c r="BJ13" s="8" t="str">
        <f t="shared" si="10"/>
        <v>No</v>
      </c>
      <c r="BK13" s="10" t="str">
        <f t="shared" si="11"/>
        <v>No</v>
      </c>
      <c r="BL13" s="2">
        <f t="shared" si="12"/>
        <v>1.7450980392156863</v>
      </c>
      <c r="BM13" s="2">
        <f t="shared" si="13"/>
        <v>0.49019607843137253</v>
      </c>
      <c r="BN13" s="2">
        <f t="shared" si="14"/>
        <v>124.18300653594771</v>
      </c>
    </row>
    <row r="14" spans="1:66" x14ac:dyDescent="0.2">
      <c r="A14" s="2" t="s">
        <v>183</v>
      </c>
      <c r="B14" s="2">
        <v>51</v>
      </c>
      <c r="C14" s="2">
        <v>24.86</v>
      </c>
      <c r="D14" s="2" t="s">
        <v>45</v>
      </c>
      <c r="E14" s="2" t="s">
        <v>47</v>
      </c>
      <c r="F14" s="2" t="s">
        <v>52</v>
      </c>
      <c r="G14" s="2">
        <v>14</v>
      </c>
      <c r="H14" s="2">
        <v>16</v>
      </c>
      <c r="I14" s="2">
        <v>3</v>
      </c>
      <c r="J14" s="2" t="s">
        <v>59</v>
      </c>
      <c r="K14" s="2">
        <v>1</v>
      </c>
      <c r="L14" s="2" t="s">
        <v>83</v>
      </c>
      <c r="M14" s="2" t="s">
        <v>131</v>
      </c>
      <c r="N14" s="2" t="s">
        <v>130</v>
      </c>
      <c r="O14" s="2" t="s">
        <v>131</v>
      </c>
      <c r="P14" s="2" t="s">
        <v>131</v>
      </c>
      <c r="Q14" s="2" t="s">
        <v>130</v>
      </c>
      <c r="R14" s="2" t="s">
        <v>130</v>
      </c>
      <c r="S14" s="2" t="s">
        <v>130</v>
      </c>
      <c r="T14" s="2" t="s">
        <v>131</v>
      </c>
      <c r="U14" s="2" t="s">
        <v>130</v>
      </c>
      <c r="V14" s="2" t="s">
        <v>130</v>
      </c>
      <c r="W14" s="2" t="s">
        <v>7</v>
      </c>
      <c r="X14" s="2">
        <v>60</v>
      </c>
      <c r="Y14" s="2">
        <v>20</v>
      </c>
      <c r="Z14" s="2">
        <v>0</v>
      </c>
      <c r="AA14" s="2" t="s">
        <v>33</v>
      </c>
      <c r="AB14" s="2" t="s">
        <v>8</v>
      </c>
      <c r="AC14" s="2" t="s">
        <v>9</v>
      </c>
      <c r="AD14" s="2" t="s">
        <v>14</v>
      </c>
      <c r="AE14" s="2" t="s">
        <v>6</v>
      </c>
      <c r="AF14" s="2" t="s">
        <v>19</v>
      </c>
      <c r="AG14" s="2">
        <v>4.2</v>
      </c>
      <c r="AH14" s="8" t="str">
        <f t="shared" si="0"/>
        <v>No</v>
      </c>
      <c r="AI14" s="2">
        <v>3.83</v>
      </c>
      <c r="AJ14" s="2">
        <v>11.9</v>
      </c>
      <c r="AK14" s="8" t="str">
        <f t="shared" si="1"/>
        <v>Yes</v>
      </c>
      <c r="AL14" s="2">
        <v>34.9</v>
      </c>
      <c r="AM14" s="2">
        <v>91.1</v>
      </c>
      <c r="AN14" s="2">
        <v>31.1</v>
      </c>
      <c r="AO14" s="2">
        <v>34.1</v>
      </c>
      <c r="AP14" s="2">
        <v>247</v>
      </c>
      <c r="AQ14" s="8" t="str">
        <f t="shared" si="2"/>
        <v>No</v>
      </c>
      <c r="AR14" s="10" t="str">
        <f t="shared" si="3"/>
        <v>No</v>
      </c>
      <c r="AS14" s="2">
        <v>5.31</v>
      </c>
      <c r="AT14" s="8" t="str">
        <f t="shared" si="4"/>
        <v>No</v>
      </c>
      <c r="AU14" s="10" t="str">
        <f t="shared" si="5"/>
        <v>No</v>
      </c>
      <c r="AV14" s="2">
        <v>2.78</v>
      </c>
      <c r="AW14" s="2">
        <v>52.6</v>
      </c>
      <c r="AX14" s="2">
        <v>0.13</v>
      </c>
      <c r="AY14" s="2">
        <v>2.4</v>
      </c>
      <c r="AZ14" s="2">
        <v>0.08</v>
      </c>
      <c r="BA14" s="2">
        <v>1.5</v>
      </c>
      <c r="BB14" s="10" t="str">
        <f t="shared" si="6"/>
        <v>No</v>
      </c>
      <c r="BC14" s="8" t="str">
        <f t="shared" si="7"/>
        <v>No</v>
      </c>
      <c r="BD14" s="2">
        <v>1.79</v>
      </c>
      <c r="BE14" s="2">
        <v>33.9</v>
      </c>
      <c r="BF14" s="10" t="str">
        <f t="shared" si="8"/>
        <v>No</v>
      </c>
      <c r="BG14" s="8" t="str">
        <f t="shared" si="9"/>
        <v>No</v>
      </c>
      <c r="BH14" s="2">
        <v>0.51</v>
      </c>
      <c r="BI14" s="2">
        <v>9.6</v>
      </c>
      <c r="BJ14" s="8" t="str">
        <f t="shared" si="10"/>
        <v>No</v>
      </c>
      <c r="BK14" s="10" t="str">
        <f t="shared" si="11"/>
        <v>No</v>
      </c>
      <c r="BL14" s="2">
        <f t="shared" si="12"/>
        <v>1.5530726256983238</v>
      </c>
      <c r="BM14" s="2">
        <f t="shared" si="13"/>
        <v>0.28491620111731841</v>
      </c>
      <c r="BN14" s="2">
        <f t="shared" si="14"/>
        <v>137.98882681564245</v>
      </c>
    </row>
    <row r="15" spans="1:66" x14ac:dyDescent="0.2">
      <c r="A15" s="2" t="s">
        <v>184</v>
      </c>
      <c r="B15" s="2">
        <v>55</v>
      </c>
      <c r="C15" s="2">
        <v>19.18</v>
      </c>
      <c r="D15" s="2" t="s">
        <v>45</v>
      </c>
      <c r="E15" s="2" t="s">
        <v>48</v>
      </c>
      <c r="F15" s="2" t="s">
        <v>55</v>
      </c>
      <c r="G15" s="2">
        <v>15</v>
      </c>
      <c r="H15" s="2">
        <v>17</v>
      </c>
      <c r="I15" s="2">
        <v>4</v>
      </c>
      <c r="J15" s="2" t="s">
        <v>59</v>
      </c>
      <c r="K15" s="2">
        <v>3</v>
      </c>
      <c r="L15" s="2" t="s">
        <v>63</v>
      </c>
      <c r="M15" s="2" t="s">
        <v>131</v>
      </c>
      <c r="N15" s="2" t="s">
        <v>130</v>
      </c>
      <c r="O15" s="2" t="s">
        <v>131</v>
      </c>
      <c r="P15" s="2" t="s">
        <v>130</v>
      </c>
      <c r="Q15" s="2" t="s">
        <v>130</v>
      </c>
      <c r="R15" s="2" t="s">
        <v>130</v>
      </c>
      <c r="S15" s="2" t="s">
        <v>130</v>
      </c>
      <c r="T15" s="2" t="s">
        <v>131</v>
      </c>
      <c r="U15" s="2" t="s">
        <v>130</v>
      </c>
      <c r="V15" s="2" t="s">
        <v>130</v>
      </c>
      <c r="W15" s="2" t="s">
        <v>17</v>
      </c>
      <c r="X15" s="2">
        <v>40</v>
      </c>
      <c r="Y15" s="2">
        <v>95</v>
      </c>
      <c r="Z15" s="2">
        <v>80</v>
      </c>
      <c r="AA15" s="2" t="s">
        <v>33</v>
      </c>
      <c r="AB15" s="2" t="s">
        <v>8</v>
      </c>
      <c r="AC15" s="2" t="s">
        <v>20</v>
      </c>
      <c r="AD15" s="2" t="s">
        <v>10</v>
      </c>
      <c r="AE15" s="2" t="s">
        <v>5</v>
      </c>
      <c r="AF15" s="2" t="s">
        <v>11</v>
      </c>
      <c r="AG15" s="2">
        <v>111.1</v>
      </c>
      <c r="AH15" s="8" t="str">
        <f t="shared" si="0"/>
        <v>Yes</v>
      </c>
      <c r="AI15" s="2">
        <v>3.63</v>
      </c>
      <c r="AJ15" s="2">
        <v>11</v>
      </c>
      <c r="AK15" s="8" t="str">
        <f t="shared" si="1"/>
        <v>Yes</v>
      </c>
      <c r="AL15" s="2">
        <v>32.6</v>
      </c>
      <c r="AM15" s="2">
        <v>89.8</v>
      </c>
      <c r="AN15" s="2">
        <v>30.3</v>
      </c>
      <c r="AO15" s="2">
        <v>33.799999999999997</v>
      </c>
      <c r="AP15" s="2">
        <v>451</v>
      </c>
      <c r="AQ15" s="8" t="str">
        <f t="shared" si="2"/>
        <v>Yes</v>
      </c>
      <c r="AR15" s="10" t="str">
        <f t="shared" si="3"/>
        <v>No</v>
      </c>
      <c r="AS15" s="2">
        <v>3.63</v>
      </c>
      <c r="AT15" s="8" t="str">
        <f t="shared" si="4"/>
        <v>No</v>
      </c>
      <c r="AU15" s="10" t="str">
        <f t="shared" si="5"/>
        <v>Yes</v>
      </c>
      <c r="AV15" s="2">
        <v>6.78</v>
      </c>
      <c r="AW15" s="2">
        <v>61.8</v>
      </c>
      <c r="AX15" s="2">
        <v>0.8</v>
      </c>
      <c r="AZ15" s="2">
        <v>0.12</v>
      </c>
      <c r="BA15" s="2">
        <v>1.1000000000000001</v>
      </c>
      <c r="BB15" s="10" t="str">
        <f t="shared" si="6"/>
        <v>No</v>
      </c>
      <c r="BC15" s="8" t="str">
        <f t="shared" si="7"/>
        <v>No</v>
      </c>
      <c r="BD15" s="2">
        <v>2.57</v>
      </c>
      <c r="BE15" s="2">
        <v>23.5</v>
      </c>
      <c r="BF15" s="10" t="str">
        <f t="shared" si="8"/>
        <v>No</v>
      </c>
      <c r="BG15" s="8" t="str">
        <f t="shared" si="9"/>
        <v>No</v>
      </c>
      <c r="BH15" s="2">
        <v>0.69</v>
      </c>
      <c r="BI15" s="2">
        <v>6.3</v>
      </c>
      <c r="BJ15" s="8" t="str">
        <f t="shared" si="10"/>
        <v>No</v>
      </c>
      <c r="BK15" s="10" t="str">
        <f t="shared" si="11"/>
        <v>No</v>
      </c>
      <c r="BL15" s="2">
        <f t="shared" si="12"/>
        <v>2.6381322957198448</v>
      </c>
      <c r="BM15" s="2">
        <f t="shared" si="13"/>
        <v>0.26848249027237353</v>
      </c>
      <c r="BN15" s="2">
        <f t="shared" si="14"/>
        <v>175.48638132295721</v>
      </c>
    </row>
    <row r="16" spans="1:66" x14ac:dyDescent="0.2">
      <c r="A16" s="2" t="s">
        <v>185</v>
      </c>
      <c r="B16" s="2">
        <v>26</v>
      </c>
      <c r="C16" s="2">
        <v>25.74</v>
      </c>
      <c r="D16" s="2" t="s">
        <v>45</v>
      </c>
      <c r="E16" s="2" t="s">
        <v>48</v>
      </c>
      <c r="F16" s="2" t="s">
        <v>55</v>
      </c>
      <c r="G16" s="2">
        <v>15</v>
      </c>
      <c r="H16" s="2">
        <v>21</v>
      </c>
      <c r="I16" s="2">
        <v>4</v>
      </c>
      <c r="J16" s="2" t="s">
        <v>59</v>
      </c>
      <c r="K16" s="2">
        <v>3</v>
      </c>
      <c r="L16" s="2" t="s">
        <v>63</v>
      </c>
      <c r="M16" s="2" t="s">
        <v>131</v>
      </c>
      <c r="N16" s="2" t="s">
        <v>130</v>
      </c>
      <c r="O16" s="3" t="s">
        <v>130</v>
      </c>
      <c r="P16" s="2" t="s">
        <v>130</v>
      </c>
      <c r="Q16" s="2" t="s">
        <v>131</v>
      </c>
      <c r="R16" s="2" t="s">
        <v>130</v>
      </c>
      <c r="S16" s="2" t="s">
        <v>130</v>
      </c>
      <c r="T16" s="2" t="s">
        <v>131</v>
      </c>
      <c r="U16" s="2" t="s">
        <v>130</v>
      </c>
      <c r="V16" s="2" t="s">
        <v>130</v>
      </c>
      <c r="W16" s="2" t="s">
        <v>7</v>
      </c>
      <c r="X16" s="2">
        <v>20</v>
      </c>
      <c r="Y16" s="2">
        <v>90</v>
      </c>
      <c r="Z16" s="2">
        <v>70</v>
      </c>
      <c r="AA16" s="2" t="s">
        <v>33</v>
      </c>
      <c r="AB16" s="2" t="s">
        <v>13</v>
      </c>
      <c r="AC16" s="2" t="s">
        <v>18</v>
      </c>
      <c r="AD16" s="2" t="s">
        <v>14</v>
      </c>
      <c r="AE16" s="2" t="s">
        <v>6</v>
      </c>
      <c r="AF16" s="2" t="s">
        <v>15</v>
      </c>
      <c r="AG16" s="2">
        <v>2.6</v>
      </c>
      <c r="AH16" s="8" t="str">
        <f t="shared" si="0"/>
        <v>No</v>
      </c>
      <c r="AI16" s="2">
        <v>4.7300000000000004</v>
      </c>
      <c r="AJ16" s="2">
        <v>14.3</v>
      </c>
      <c r="AK16" s="8" t="str">
        <f t="shared" si="1"/>
        <v>No</v>
      </c>
      <c r="AL16" s="2">
        <v>41.4</v>
      </c>
      <c r="AM16" s="2">
        <v>87.4</v>
      </c>
      <c r="AN16" s="2">
        <v>30.3</v>
      </c>
      <c r="AO16" s="2">
        <v>34.6</v>
      </c>
      <c r="AP16" s="2">
        <v>302</v>
      </c>
      <c r="AQ16" s="8" t="str">
        <f t="shared" si="2"/>
        <v>No</v>
      </c>
      <c r="AR16" s="10" t="str">
        <f t="shared" si="3"/>
        <v>No</v>
      </c>
      <c r="AS16" s="2">
        <v>4.68</v>
      </c>
      <c r="AT16" s="8" t="str">
        <f t="shared" si="4"/>
        <v>No</v>
      </c>
      <c r="AU16" s="10" t="str">
        <f t="shared" si="5"/>
        <v>No</v>
      </c>
      <c r="AV16" s="2">
        <v>2.34</v>
      </c>
      <c r="AW16" s="2">
        <v>50.3</v>
      </c>
      <c r="AX16" s="2">
        <v>0.22</v>
      </c>
      <c r="AY16" s="2">
        <v>4.5999999999999996</v>
      </c>
      <c r="AZ16" s="2">
        <v>7.0000000000000007E-2</v>
      </c>
      <c r="BA16" s="2">
        <v>1.57</v>
      </c>
      <c r="BB16" s="10" t="str">
        <f t="shared" si="6"/>
        <v>No</v>
      </c>
      <c r="BC16" s="8" t="str">
        <f t="shared" si="7"/>
        <v>No</v>
      </c>
      <c r="BD16" s="2">
        <v>1.57</v>
      </c>
      <c r="BE16" s="2">
        <v>33.6</v>
      </c>
      <c r="BF16" s="10" t="str">
        <f t="shared" si="8"/>
        <v>No</v>
      </c>
      <c r="BG16" s="8" t="str">
        <f t="shared" si="9"/>
        <v>No</v>
      </c>
      <c r="BH16" s="2">
        <v>0.47</v>
      </c>
      <c r="BI16" s="2">
        <v>10</v>
      </c>
      <c r="BJ16" s="8" t="str">
        <f t="shared" si="10"/>
        <v>No</v>
      </c>
      <c r="BK16" s="10" t="str">
        <f t="shared" si="11"/>
        <v>No</v>
      </c>
      <c r="BL16" s="2">
        <f t="shared" si="12"/>
        <v>1.4904458598726114</v>
      </c>
      <c r="BM16" s="2">
        <f t="shared" si="13"/>
        <v>0.29936305732484075</v>
      </c>
      <c r="BN16" s="2">
        <f t="shared" si="14"/>
        <v>192.35668789808918</v>
      </c>
    </row>
    <row r="17" spans="1:66" x14ac:dyDescent="0.2">
      <c r="A17" s="2" t="s">
        <v>186</v>
      </c>
      <c r="B17" s="2">
        <v>57</v>
      </c>
      <c r="C17" s="2">
        <v>36.840000000000003</v>
      </c>
      <c r="D17" s="2" t="s">
        <v>45</v>
      </c>
      <c r="E17" s="2" t="s">
        <v>46</v>
      </c>
      <c r="F17" s="2" t="s">
        <v>52</v>
      </c>
      <c r="G17" s="2">
        <v>15</v>
      </c>
      <c r="H17" s="2">
        <v>20</v>
      </c>
      <c r="I17" s="2">
        <v>2</v>
      </c>
      <c r="J17" s="2" t="s">
        <v>59</v>
      </c>
      <c r="K17" s="2">
        <v>0</v>
      </c>
      <c r="L17" s="2" t="s">
        <v>64</v>
      </c>
      <c r="M17" s="2" t="s">
        <v>131</v>
      </c>
      <c r="N17" s="2" t="s">
        <v>130</v>
      </c>
      <c r="O17" s="2" t="s">
        <v>131</v>
      </c>
      <c r="P17" s="2" t="s">
        <v>131</v>
      </c>
      <c r="Q17" s="2" t="s">
        <v>130</v>
      </c>
      <c r="R17" s="2" t="s">
        <v>130</v>
      </c>
      <c r="S17" s="2" t="s">
        <v>130</v>
      </c>
      <c r="T17" s="2" t="s">
        <v>131</v>
      </c>
      <c r="U17" s="2" t="s">
        <v>130</v>
      </c>
      <c r="V17" s="2" t="s">
        <v>130</v>
      </c>
      <c r="W17" s="2" t="s">
        <v>7</v>
      </c>
      <c r="X17" s="2">
        <v>15</v>
      </c>
      <c r="Y17" s="2">
        <v>60</v>
      </c>
      <c r="Z17" s="2">
        <v>90</v>
      </c>
      <c r="AA17" s="2" t="s">
        <v>33</v>
      </c>
      <c r="AB17" s="2" t="s">
        <v>8</v>
      </c>
      <c r="AC17" s="2" t="s">
        <v>9</v>
      </c>
      <c r="AD17" s="2" t="s">
        <v>10</v>
      </c>
      <c r="AE17" s="2" t="s">
        <v>5</v>
      </c>
      <c r="AF17" s="2" t="s">
        <v>11</v>
      </c>
      <c r="AG17" s="2">
        <v>29.2</v>
      </c>
      <c r="AH17" s="8" t="str">
        <f t="shared" si="0"/>
        <v>Yes</v>
      </c>
      <c r="AI17" s="2">
        <v>4.59</v>
      </c>
      <c r="AJ17" s="2">
        <v>13.9</v>
      </c>
      <c r="AK17" s="8" t="str">
        <f t="shared" si="1"/>
        <v>No</v>
      </c>
      <c r="AL17" s="2">
        <v>40.6</v>
      </c>
      <c r="AM17" s="2">
        <v>88.4</v>
      </c>
      <c r="AN17" s="2">
        <v>30.2</v>
      </c>
      <c r="AO17" s="2">
        <v>34.200000000000003</v>
      </c>
      <c r="AP17" s="2">
        <v>251</v>
      </c>
      <c r="AQ17" s="8" t="str">
        <f t="shared" si="2"/>
        <v>No</v>
      </c>
      <c r="AR17" s="10" t="str">
        <f t="shared" si="3"/>
        <v>No</v>
      </c>
      <c r="AS17" s="2">
        <v>5.73</v>
      </c>
      <c r="AT17" s="8" t="str">
        <f t="shared" si="4"/>
        <v>No</v>
      </c>
      <c r="AU17" s="10" t="str">
        <f t="shared" si="5"/>
        <v>No</v>
      </c>
      <c r="AV17" s="2">
        <v>2.79</v>
      </c>
      <c r="AW17" s="2">
        <v>48.8</v>
      </c>
      <c r="AX17" s="2">
        <v>0.18</v>
      </c>
      <c r="AY17" s="2">
        <v>3.1</v>
      </c>
      <c r="AZ17" s="2">
        <v>0.08</v>
      </c>
      <c r="BA17" s="2">
        <v>1.4</v>
      </c>
      <c r="BB17" s="10" t="str">
        <f t="shared" si="6"/>
        <v>No</v>
      </c>
      <c r="BC17" s="8" t="str">
        <f t="shared" si="7"/>
        <v>No</v>
      </c>
      <c r="BD17" s="2">
        <v>2.2200000000000002</v>
      </c>
      <c r="BE17" s="2">
        <v>38.799999999999997</v>
      </c>
      <c r="BF17" s="10" t="str">
        <f t="shared" si="8"/>
        <v>No</v>
      </c>
      <c r="BG17" s="8" t="str">
        <f t="shared" si="9"/>
        <v>No</v>
      </c>
      <c r="BH17" s="2">
        <v>0.45</v>
      </c>
      <c r="BI17" s="2">
        <v>7.9</v>
      </c>
      <c r="BJ17" s="8" t="str">
        <f t="shared" si="10"/>
        <v>No</v>
      </c>
      <c r="BK17" s="10" t="str">
        <f t="shared" si="11"/>
        <v>No</v>
      </c>
      <c r="BL17" s="2">
        <f t="shared" si="12"/>
        <v>1.2567567567567566</v>
      </c>
      <c r="BM17" s="2">
        <f t="shared" si="13"/>
        <v>0.20270270270270269</v>
      </c>
      <c r="BN17" s="2">
        <f t="shared" si="14"/>
        <v>113.06306306306305</v>
      </c>
    </row>
    <row r="18" spans="1:66" x14ac:dyDescent="0.2">
      <c r="A18" s="2" t="s">
        <v>187</v>
      </c>
      <c r="B18" s="2">
        <v>23</v>
      </c>
      <c r="C18" s="2">
        <v>21.12</v>
      </c>
      <c r="D18" s="2" t="s">
        <v>75</v>
      </c>
      <c r="E18" s="2" t="s">
        <v>49</v>
      </c>
      <c r="F18" s="2" t="s">
        <v>53</v>
      </c>
      <c r="G18" s="2">
        <v>14</v>
      </c>
      <c r="H18" s="2">
        <v>21</v>
      </c>
      <c r="I18" s="2">
        <v>0</v>
      </c>
      <c r="J18" s="2" t="s">
        <v>61</v>
      </c>
      <c r="K18" s="2">
        <v>0</v>
      </c>
      <c r="L18" s="2" t="s">
        <v>64</v>
      </c>
      <c r="M18" s="2" t="s">
        <v>130</v>
      </c>
      <c r="N18" s="2" t="s">
        <v>130</v>
      </c>
      <c r="O18" s="3" t="s">
        <v>130</v>
      </c>
      <c r="P18" s="2" t="s">
        <v>130</v>
      </c>
      <c r="Q18" s="2" t="s">
        <v>130</v>
      </c>
      <c r="R18" s="2" t="s">
        <v>130</v>
      </c>
      <c r="S18" s="2" t="s">
        <v>130</v>
      </c>
      <c r="T18" s="2" t="s">
        <v>130</v>
      </c>
      <c r="U18" s="2" t="s">
        <v>130</v>
      </c>
      <c r="V18" s="2" t="s">
        <v>130</v>
      </c>
      <c r="W18" s="2" t="s">
        <v>12</v>
      </c>
      <c r="X18" s="2">
        <v>60</v>
      </c>
      <c r="Y18" s="2">
        <v>60</v>
      </c>
      <c r="Z18" s="2">
        <v>0</v>
      </c>
      <c r="AA18" s="2" t="s">
        <v>33</v>
      </c>
      <c r="AB18" s="2" t="s">
        <v>8</v>
      </c>
      <c r="AC18" s="2" t="s">
        <v>9</v>
      </c>
      <c r="AD18" s="2" t="s">
        <v>10</v>
      </c>
      <c r="AE18" s="2" t="s">
        <v>5</v>
      </c>
      <c r="AF18" s="2" t="s">
        <v>11</v>
      </c>
      <c r="AG18" s="2">
        <v>0.2</v>
      </c>
      <c r="AH18" s="8" t="str">
        <f t="shared" si="0"/>
        <v>No</v>
      </c>
      <c r="AI18" s="2">
        <v>4.6500000000000004</v>
      </c>
      <c r="AJ18" s="2">
        <v>14.5</v>
      </c>
      <c r="AK18" s="8" t="str">
        <f t="shared" si="1"/>
        <v>No</v>
      </c>
      <c r="AL18" s="2">
        <v>42.2</v>
      </c>
      <c r="AM18" s="2">
        <v>90.7</v>
      </c>
      <c r="AN18" s="2">
        <v>31.2</v>
      </c>
      <c r="AO18" s="2">
        <v>34.5</v>
      </c>
      <c r="AP18" s="2">
        <v>219</v>
      </c>
      <c r="AQ18" s="8" t="str">
        <f t="shared" si="2"/>
        <v>No</v>
      </c>
      <c r="AR18" s="10" t="str">
        <f t="shared" si="3"/>
        <v>No</v>
      </c>
      <c r="AS18" s="2">
        <v>4.41</v>
      </c>
      <c r="AT18" s="8" t="str">
        <f t="shared" si="4"/>
        <v>No</v>
      </c>
      <c r="AU18" s="10" t="str">
        <f t="shared" si="5"/>
        <v>No</v>
      </c>
      <c r="AV18" s="2">
        <v>2.52</v>
      </c>
      <c r="AW18" s="2">
        <v>57.1</v>
      </c>
      <c r="AX18" s="2">
        <v>7.0000000000000007E-2</v>
      </c>
      <c r="AY18" s="2">
        <v>1.6</v>
      </c>
      <c r="AZ18" s="2">
        <v>7.0000000000000007E-2</v>
      </c>
      <c r="BA18" s="2">
        <v>1.7</v>
      </c>
      <c r="BB18" s="10" t="str">
        <f t="shared" si="6"/>
        <v>No</v>
      </c>
      <c r="BC18" s="8" t="str">
        <f t="shared" si="7"/>
        <v>No</v>
      </c>
      <c r="BD18" s="2">
        <v>1.52</v>
      </c>
      <c r="BE18" s="2">
        <v>34.6</v>
      </c>
      <c r="BF18" s="10" t="str">
        <f t="shared" si="8"/>
        <v>No</v>
      </c>
      <c r="BG18" s="8" t="str">
        <f t="shared" si="9"/>
        <v>No</v>
      </c>
      <c r="BH18" s="2">
        <v>0.22</v>
      </c>
      <c r="BI18" s="2">
        <v>5</v>
      </c>
      <c r="BJ18" s="8" t="str">
        <f t="shared" si="10"/>
        <v>No</v>
      </c>
      <c r="BK18" s="10" t="str">
        <f t="shared" si="11"/>
        <v>No</v>
      </c>
      <c r="BL18" s="2">
        <f t="shared" si="12"/>
        <v>1.6578947368421053</v>
      </c>
      <c r="BM18" s="2">
        <f t="shared" si="13"/>
        <v>0.14473684210526316</v>
      </c>
      <c r="BN18" s="2">
        <f t="shared" si="14"/>
        <v>144.07894736842104</v>
      </c>
    </row>
    <row r="19" spans="1:66" x14ac:dyDescent="0.2">
      <c r="A19" s="2" t="s">
        <v>188</v>
      </c>
      <c r="B19" s="2">
        <v>40</v>
      </c>
      <c r="C19" s="2">
        <v>24.53</v>
      </c>
      <c r="D19" s="2" t="s">
        <v>45</v>
      </c>
      <c r="E19" s="2" t="s">
        <v>48</v>
      </c>
      <c r="F19" s="2" t="s">
        <v>55</v>
      </c>
      <c r="G19" s="2">
        <v>14</v>
      </c>
      <c r="H19" s="2">
        <v>21</v>
      </c>
      <c r="I19" s="2">
        <v>3</v>
      </c>
      <c r="J19" s="2" t="s">
        <v>59</v>
      </c>
      <c r="K19" s="2">
        <v>2</v>
      </c>
      <c r="L19" s="2" t="s">
        <v>63</v>
      </c>
      <c r="M19" s="2" t="s">
        <v>131</v>
      </c>
      <c r="N19" s="2" t="s">
        <v>130</v>
      </c>
      <c r="O19" s="3" t="s">
        <v>130</v>
      </c>
      <c r="P19" s="2" t="s">
        <v>130</v>
      </c>
      <c r="Q19" s="2" t="s">
        <v>131</v>
      </c>
      <c r="R19" s="2" t="s">
        <v>130</v>
      </c>
      <c r="S19" s="2" t="s">
        <v>130</v>
      </c>
      <c r="T19" s="2" t="s">
        <v>131</v>
      </c>
      <c r="U19" s="2" t="s">
        <v>130</v>
      </c>
      <c r="V19" s="2" t="s">
        <v>130</v>
      </c>
      <c r="W19" s="2" t="s">
        <v>17</v>
      </c>
      <c r="X19" s="2">
        <v>80</v>
      </c>
      <c r="Y19" s="2">
        <v>95</v>
      </c>
      <c r="Z19" s="2">
        <v>90</v>
      </c>
      <c r="AA19" s="2" t="s">
        <v>33</v>
      </c>
      <c r="AB19" s="2" t="s">
        <v>21</v>
      </c>
      <c r="AC19" s="2" t="s">
        <v>18</v>
      </c>
      <c r="AD19" s="2" t="s">
        <v>10</v>
      </c>
      <c r="AE19" s="2" t="s">
        <v>5</v>
      </c>
      <c r="AF19" s="2" t="s">
        <v>11</v>
      </c>
      <c r="AG19" s="2">
        <v>93.3</v>
      </c>
      <c r="AH19" s="8" t="str">
        <f t="shared" si="0"/>
        <v>Yes</v>
      </c>
      <c r="AI19" s="2">
        <v>4.5</v>
      </c>
      <c r="AJ19" s="2">
        <v>11.5</v>
      </c>
      <c r="AK19" s="8" t="str">
        <f t="shared" si="1"/>
        <v>Yes</v>
      </c>
      <c r="AL19" s="2">
        <v>36.5</v>
      </c>
      <c r="AM19" s="2">
        <v>81.099999999999994</v>
      </c>
      <c r="AN19" s="2">
        <v>25.6</v>
      </c>
      <c r="AO19" s="2">
        <v>31.5</v>
      </c>
      <c r="AP19" s="2">
        <v>370</v>
      </c>
      <c r="AQ19" s="8" t="str">
        <f t="shared" si="2"/>
        <v>No</v>
      </c>
      <c r="AR19" s="10" t="str">
        <f t="shared" si="3"/>
        <v>No</v>
      </c>
      <c r="AS19" s="2">
        <v>7.4</v>
      </c>
      <c r="AT19" s="8" t="str">
        <f t="shared" si="4"/>
        <v>No</v>
      </c>
      <c r="AU19" s="10" t="str">
        <f t="shared" si="5"/>
        <v>No</v>
      </c>
      <c r="AV19" s="2">
        <v>4.79</v>
      </c>
      <c r="AW19" s="2">
        <v>64.7</v>
      </c>
      <c r="AX19" s="2">
        <v>0.11</v>
      </c>
      <c r="AY19" s="2">
        <v>1.5</v>
      </c>
      <c r="AZ19" s="2">
        <v>0.03</v>
      </c>
      <c r="BA19" s="2">
        <v>0.4</v>
      </c>
      <c r="BB19" s="10" t="str">
        <f t="shared" si="6"/>
        <v>No</v>
      </c>
      <c r="BC19" s="8" t="str">
        <f t="shared" si="7"/>
        <v>No</v>
      </c>
      <c r="BD19" s="2">
        <v>1.57</v>
      </c>
      <c r="BE19" s="2">
        <v>21.2</v>
      </c>
      <c r="BF19" s="10" t="str">
        <f t="shared" si="8"/>
        <v>No</v>
      </c>
      <c r="BG19" s="8" t="str">
        <f t="shared" si="9"/>
        <v>No</v>
      </c>
      <c r="BH19" s="2">
        <v>0.9</v>
      </c>
      <c r="BI19" s="2">
        <v>12.2</v>
      </c>
      <c r="BJ19" s="8" t="str">
        <f t="shared" si="10"/>
        <v>No</v>
      </c>
      <c r="BK19" s="10" t="str">
        <f t="shared" si="11"/>
        <v>No</v>
      </c>
      <c r="BL19" s="2">
        <f t="shared" si="12"/>
        <v>3.0509554140127388</v>
      </c>
      <c r="BM19" s="2">
        <f t="shared" si="13"/>
        <v>0.57324840764331209</v>
      </c>
      <c r="BN19" s="2">
        <f t="shared" si="14"/>
        <v>235.66878980891718</v>
      </c>
    </row>
    <row r="20" spans="1:66" x14ac:dyDescent="0.2">
      <c r="A20" s="2" t="s">
        <v>189</v>
      </c>
      <c r="B20" s="2">
        <v>42</v>
      </c>
      <c r="C20" s="2">
        <v>23.36</v>
      </c>
      <c r="D20" s="2" t="s">
        <v>45</v>
      </c>
      <c r="E20" s="2" t="s">
        <v>48</v>
      </c>
      <c r="F20" s="2" t="s">
        <v>55</v>
      </c>
      <c r="G20" s="2">
        <v>15</v>
      </c>
      <c r="H20" s="2">
        <v>17</v>
      </c>
      <c r="I20" s="2">
        <v>5</v>
      </c>
      <c r="J20" s="2" t="s">
        <v>59</v>
      </c>
      <c r="K20" s="2">
        <v>4</v>
      </c>
      <c r="L20" s="2" t="s">
        <v>63</v>
      </c>
      <c r="M20" s="2" t="s">
        <v>131</v>
      </c>
      <c r="N20" s="2" t="s">
        <v>130</v>
      </c>
      <c r="O20" s="3" t="s">
        <v>130</v>
      </c>
      <c r="P20" s="2" t="s">
        <v>130</v>
      </c>
      <c r="Q20" s="2" t="s">
        <v>130</v>
      </c>
      <c r="R20" s="2" t="s">
        <v>130</v>
      </c>
      <c r="S20" s="2" t="s">
        <v>130</v>
      </c>
      <c r="T20" s="2" t="s">
        <v>131</v>
      </c>
      <c r="U20" s="2" t="s">
        <v>130</v>
      </c>
      <c r="V20" s="2" t="s">
        <v>130</v>
      </c>
      <c r="W20" s="2" t="s">
        <v>7</v>
      </c>
      <c r="X20" s="2">
        <v>30</v>
      </c>
      <c r="Y20" s="2">
        <v>90</v>
      </c>
      <c r="Z20" s="2">
        <v>70</v>
      </c>
      <c r="AA20" s="2" t="s">
        <v>33</v>
      </c>
      <c r="AB20" s="2" t="s">
        <v>8</v>
      </c>
      <c r="AC20" s="2" t="s">
        <v>9</v>
      </c>
      <c r="AD20" s="2" t="s">
        <v>14</v>
      </c>
      <c r="AE20" s="2" t="s">
        <v>6</v>
      </c>
      <c r="AF20" s="2" t="s">
        <v>19</v>
      </c>
      <c r="AG20" s="2">
        <v>4.2</v>
      </c>
      <c r="AH20" s="8" t="str">
        <f t="shared" si="0"/>
        <v>No</v>
      </c>
      <c r="AI20" s="2">
        <v>3.93</v>
      </c>
      <c r="AJ20" s="2">
        <v>11.6</v>
      </c>
      <c r="AK20" s="8" t="str">
        <f t="shared" si="1"/>
        <v>Yes</v>
      </c>
      <c r="AL20" s="2">
        <v>35.200000000000003</v>
      </c>
      <c r="AM20" s="2">
        <v>89.6</v>
      </c>
      <c r="AN20" s="2">
        <v>29.5</v>
      </c>
      <c r="AO20" s="2">
        <v>33</v>
      </c>
      <c r="AP20" s="2">
        <v>261</v>
      </c>
      <c r="AQ20" s="8" t="str">
        <f t="shared" si="2"/>
        <v>No</v>
      </c>
      <c r="AR20" s="10" t="str">
        <f t="shared" si="3"/>
        <v>No</v>
      </c>
      <c r="AS20" s="2">
        <v>5.34</v>
      </c>
      <c r="AT20" s="8" t="str">
        <f t="shared" si="4"/>
        <v>No</v>
      </c>
      <c r="AU20" s="10" t="str">
        <f t="shared" si="5"/>
        <v>No</v>
      </c>
      <c r="AV20" s="2">
        <v>2.1800000000000002</v>
      </c>
      <c r="AW20" s="2">
        <v>40.799999999999997</v>
      </c>
      <c r="AX20" s="2">
        <v>0.18</v>
      </c>
      <c r="AY20" s="2">
        <v>3.4</v>
      </c>
      <c r="AZ20" s="2">
        <v>0.04</v>
      </c>
      <c r="BA20" s="2">
        <v>0.7</v>
      </c>
      <c r="BB20" s="10" t="str">
        <f t="shared" si="6"/>
        <v>No</v>
      </c>
      <c r="BC20" s="8" t="str">
        <f t="shared" si="7"/>
        <v>No</v>
      </c>
      <c r="BD20" s="2">
        <v>2.5299999999999998</v>
      </c>
      <c r="BE20" s="2">
        <v>47.4</v>
      </c>
      <c r="BF20" s="10" t="str">
        <f t="shared" si="8"/>
        <v>No</v>
      </c>
      <c r="BG20" s="8" t="str">
        <f t="shared" si="9"/>
        <v>No</v>
      </c>
      <c r="BH20" s="2">
        <v>0.41</v>
      </c>
      <c r="BI20" s="2">
        <v>7.7</v>
      </c>
      <c r="BJ20" s="8" t="str">
        <f t="shared" si="10"/>
        <v>No</v>
      </c>
      <c r="BK20" s="10" t="str">
        <f t="shared" si="11"/>
        <v>No</v>
      </c>
      <c r="BL20" s="2">
        <f t="shared" si="12"/>
        <v>0.86166007905138353</v>
      </c>
      <c r="BM20" s="2">
        <f t="shared" si="13"/>
        <v>0.16205533596837945</v>
      </c>
      <c r="BN20" s="2">
        <f t="shared" si="14"/>
        <v>103.16205533596839</v>
      </c>
    </row>
    <row r="21" spans="1:66" x14ac:dyDescent="0.2">
      <c r="A21" s="2" t="s">
        <v>190</v>
      </c>
      <c r="B21" s="2">
        <v>49</v>
      </c>
      <c r="C21" s="6">
        <v>22.24</v>
      </c>
      <c r="D21" s="2" t="s">
        <v>45</v>
      </c>
      <c r="E21" s="2" t="s">
        <v>47</v>
      </c>
      <c r="F21" s="2" t="s">
        <v>52</v>
      </c>
      <c r="G21" s="2">
        <v>17</v>
      </c>
      <c r="H21" s="2">
        <v>23</v>
      </c>
      <c r="I21" s="2">
        <v>1</v>
      </c>
      <c r="J21" s="2" t="s">
        <v>60</v>
      </c>
      <c r="K21" s="2">
        <v>1</v>
      </c>
      <c r="L21" s="2" t="s">
        <v>83</v>
      </c>
      <c r="M21" s="2" t="s">
        <v>130</v>
      </c>
      <c r="N21" s="2" t="s">
        <v>130</v>
      </c>
      <c r="O21" s="3" t="s">
        <v>130</v>
      </c>
      <c r="P21" s="2" t="s">
        <v>131</v>
      </c>
      <c r="Q21" s="2" t="s">
        <v>130</v>
      </c>
      <c r="R21" s="2" t="s">
        <v>130</v>
      </c>
      <c r="S21" s="2" t="s">
        <v>130</v>
      </c>
      <c r="T21" s="2" t="s">
        <v>131</v>
      </c>
      <c r="U21" s="2" t="s">
        <v>131</v>
      </c>
      <c r="V21" s="2" t="s">
        <v>130</v>
      </c>
      <c r="W21" s="2" t="s">
        <v>7</v>
      </c>
      <c r="X21" s="2">
        <v>10</v>
      </c>
      <c r="Y21" s="2">
        <v>60</v>
      </c>
      <c r="Z21" s="2">
        <v>20</v>
      </c>
      <c r="AA21" s="2" t="s">
        <v>32</v>
      </c>
      <c r="AB21" s="2" t="s">
        <v>8</v>
      </c>
      <c r="AC21" s="2" t="s">
        <v>22</v>
      </c>
      <c r="AD21" s="2" t="s">
        <v>14</v>
      </c>
      <c r="AE21" s="2" t="s">
        <v>6</v>
      </c>
      <c r="AF21" s="2" t="s">
        <v>19</v>
      </c>
      <c r="AG21" s="2">
        <v>1.3</v>
      </c>
      <c r="AH21" s="8" t="str">
        <f t="shared" si="0"/>
        <v>No</v>
      </c>
      <c r="AI21" s="2">
        <v>2.69</v>
      </c>
      <c r="AJ21" s="2">
        <v>8</v>
      </c>
      <c r="AK21" s="8" t="str">
        <f t="shared" si="1"/>
        <v>Yes</v>
      </c>
      <c r="AL21" s="2">
        <v>22.7</v>
      </c>
      <c r="AM21" s="2">
        <v>84.4</v>
      </c>
      <c r="AN21" s="2">
        <v>29.7</v>
      </c>
      <c r="AO21" s="2">
        <v>35.200000000000003</v>
      </c>
      <c r="AP21" s="2">
        <v>75</v>
      </c>
      <c r="AQ21" s="8" t="str">
        <f t="shared" si="2"/>
        <v>No</v>
      </c>
      <c r="AR21" s="10" t="str">
        <f t="shared" si="3"/>
        <v>Yes</v>
      </c>
      <c r="AS21" s="2">
        <v>4.18</v>
      </c>
      <c r="AT21" s="8" t="str">
        <f t="shared" si="4"/>
        <v>No</v>
      </c>
      <c r="AU21" s="10" t="str">
        <f t="shared" si="5"/>
        <v>No</v>
      </c>
      <c r="AV21" s="2">
        <v>3.68</v>
      </c>
      <c r="AW21" s="2">
        <v>88.1</v>
      </c>
      <c r="AX21" s="2">
        <v>0</v>
      </c>
      <c r="AY21" s="2">
        <v>0</v>
      </c>
      <c r="AZ21" s="2">
        <v>0.03</v>
      </c>
      <c r="BA21" s="2">
        <v>0.7</v>
      </c>
      <c r="BB21" s="10" t="str">
        <f t="shared" si="6"/>
        <v>No</v>
      </c>
      <c r="BC21" s="8" t="str">
        <f t="shared" si="7"/>
        <v>No</v>
      </c>
      <c r="BD21" s="2">
        <v>0.16</v>
      </c>
      <c r="BE21" s="2">
        <v>3.8</v>
      </c>
      <c r="BF21" s="10" t="str">
        <f t="shared" si="8"/>
        <v>Yes</v>
      </c>
      <c r="BG21" s="8" t="str">
        <f t="shared" si="9"/>
        <v>No</v>
      </c>
      <c r="BH21" s="2">
        <v>0.31</v>
      </c>
      <c r="BI21" s="2">
        <v>7.4</v>
      </c>
      <c r="BJ21" s="8" t="str">
        <f t="shared" si="10"/>
        <v>No</v>
      </c>
      <c r="BK21" s="10" t="str">
        <f t="shared" si="11"/>
        <v>No</v>
      </c>
      <c r="BL21" s="2">
        <f t="shared" si="12"/>
        <v>23</v>
      </c>
      <c r="BM21" s="2">
        <f t="shared" si="13"/>
        <v>1.9375</v>
      </c>
      <c r="BN21" s="2">
        <f t="shared" si="14"/>
        <v>468.75</v>
      </c>
    </row>
    <row r="22" spans="1:66" x14ac:dyDescent="0.2">
      <c r="A22" s="2" t="s">
        <v>191</v>
      </c>
      <c r="B22" s="2">
        <v>47</v>
      </c>
      <c r="C22" s="2">
        <v>21.48</v>
      </c>
      <c r="D22" s="2" t="s">
        <v>45</v>
      </c>
      <c r="E22" s="2" t="s">
        <v>46</v>
      </c>
      <c r="F22" s="2" t="s">
        <v>55</v>
      </c>
      <c r="G22" s="2">
        <v>12</v>
      </c>
      <c r="H22" s="2">
        <v>30</v>
      </c>
      <c r="I22" s="2">
        <v>3</v>
      </c>
      <c r="J22" s="2" t="s">
        <v>59</v>
      </c>
      <c r="K22" s="2">
        <v>0</v>
      </c>
      <c r="L22" s="2" t="s">
        <v>64</v>
      </c>
      <c r="M22" s="2" t="s">
        <v>131</v>
      </c>
      <c r="N22" s="2" t="s">
        <v>130</v>
      </c>
      <c r="O22" s="2" t="s">
        <v>131</v>
      </c>
      <c r="P22" s="2" t="s">
        <v>131</v>
      </c>
      <c r="Q22" s="2" t="s">
        <v>131</v>
      </c>
      <c r="R22" s="2" t="s">
        <v>130</v>
      </c>
      <c r="S22" s="2" t="s">
        <v>130</v>
      </c>
      <c r="T22" s="2" t="s">
        <v>131</v>
      </c>
      <c r="U22" s="2" t="s">
        <v>130</v>
      </c>
      <c r="V22" s="2" t="s">
        <v>130</v>
      </c>
      <c r="W22" s="2" t="s">
        <v>17</v>
      </c>
      <c r="X22" s="2">
        <v>70</v>
      </c>
      <c r="Y22" s="2">
        <v>95</v>
      </c>
      <c r="Z22" s="2">
        <v>40</v>
      </c>
      <c r="AA22" s="2" t="s">
        <v>33</v>
      </c>
      <c r="AB22" s="2" t="s">
        <v>8</v>
      </c>
      <c r="AC22" s="2" t="s">
        <v>20</v>
      </c>
      <c r="AD22" s="2" t="s">
        <v>10</v>
      </c>
      <c r="AE22" s="2" t="s">
        <v>5</v>
      </c>
      <c r="AF22" s="2" t="s">
        <v>11</v>
      </c>
      <c r="AG22" s="2">
        <v>41.8</v>
      </c>
      <c r="AH22" s="8" t="str">
        <f t="shared" si="0"/>
        <v>Yes</v>
      </c>
      <c r="AI22" s="2">
        <v>4.68</v>
      </c>
      <c r="AJ22" s="2">
        <v>13.05</v>
      </c>
      <c r="AK22" s="8" t="str">
        <f t="shared" si="1"/>
        <v>No</v>
      </c>
      <c r="AL22" s="2">
        <v>39.81</v>
      </c>
      <c r="AM22" s="2">
        <v>85.09</v>
      </c>
      <c r="AN22" s="2">
        <v>27.94</v>
      </c>
      <c r="AO22" s="2">
        <v>32.82</v>
      </c>
      <c r="AP22" s="2">
        <v>272</v>
      </c>
      <c r="AQ22" s="8" t="str">
        <f t="shared" si="2"/>
        <v>No</v>
      </c>
      <c r="AR22" s="10" t="str">
        <f t="shared" si="3"/>
        <v>No</v>
      </c>
      <c r="AS22" s="2">
        <v>5.61</v>
      </c>
      <c r="AT22" s="8" t="str">
        <f t="shared" si="4"/>
        <v>No</v>
      </c>
      <c r="AU22" s="10" t="str">
        <f t="shared" si="5"/>
        <v>No</v>
      </c>
      <c r="AV22" s="2">
        <v>2.94</v>
      </c>
      <c r="AW22" s="2">
        <v>47.48</v>
      </c>
      <c r="AX22" s="2">
        <v>0.16</v>
      </c>
      <c r="AY22" s="2">
        <v>2.15</v>
      </c>
      <c r="AZ22" s="2">
        <v>0.04</v>
      </c>
      <c r="BA22" s="2">
        <v>0.8</v>
      </c>
      <c r="BB22" s="10" t="str">
        <f t="shared" si="6"/>
        <v>No</v>
      </c>
      <c r="BC22" s="8" t="str">
        <f t="shared" si="7"/>
        <v>No</v>
      </c>
      <c r="BD22" s="2">
        <v>2.1</v>
      </c>
      <c r="BE22" s="2">
        <v>35.6</v>
      </c>
      <c r="BF22" s="10" t="str">
        <f t="shared" si="8"/>
        <v>No</v>
      </c>
      <c r="BG22" s="8" t="str">
        <f t="shared" si="9"/>
        <v>No</v>
      </c>
      <c r="BH22" s="2">
        <v>0.72750000000000004</v>
      </c>
      <c r="BI22" s="2">
        <v>12</v>
      </c>
      <c r="BJ22" s="8" t="str">
        <f t="shared" si="10"/>
        <v>No</v>
      </c>
      <c r="BK22" s="10" t="str">
        <f t="shared" si="11"/>
        <v>No</v>
      </c>
      <c r="BL22" s="2">
        <f t="shared" si="12"/>
        <v>1.4</v>
      </c>
      <c r="BM22" s="2">
        <f t="shared" si="13"/>
        <v>0.34642857142857142</v>
      </c>
      <c r="BN22" s="2">
        <f t="shared" si="14"/>
        <v>129.52380952380952</v>
      </c>
    </row>
    <row r="23" spans="1:66" x14ac:dyDescent="0.2">
      <c r="A23" s="2" t="s">
        <v>192</v>
      </c>
      <c r="B23" s="2">
        <v>68</v>
      </c>
      <c r="C23" s="2">
        <v>21.97</v>
      </c>
      <c r="D23" s="2" t="s">
        <v>45</v>
      </c>
      <c r="E23" s="2" t="s">
        <v>47</v>
      </c>
      <c r="F23" s="2" t="s">
        <v>55</v>
      </c>
      <c r="G23" s="2">
        <v>15</v>
      </c>
      <c r="H23" s="2">
        <v>17</v>
      </c>
      <c r="I23" s="2">
        <v>9</v>
      </c>
      <c r="J23" s="2" t="s">
        <v>59</v>
      </c>
      <c r="K23" s="2">
        <v>8</v>
      </c>
      <c r="L23" s="2" t="s">
        <v>63</v>
      </c>
      <c r="M23" s="2" t="s">
        <v>131</v>
      </c>
      <c r="N23" s="2" t="s">
        <v>130</v>
      </c>
      <c r="O23" s="2" t="s">
        <v>131</v>
      </c>
      <c r="P23" s="2" t="s">
        <v>130</v>
      </c>
      <c r="Q23" s="2" t="s">
        <v>130</v>
      </c>
      <c r="R23" s="2" t="s">
        <v>130</v>
      </c>
      <c r="S23" s="2" t="s">
        <v>130</v>
      </c>
      <c r="T23" s="2" t="s">
        <v>131</v>
      </c>
      <c r="U23" s="2" t="s">
        <v>130</v>
      </c>
      <c r="V23" s="2" t="s">
        <v>131</v>
      </c>
      <c r="W23" s="2" t="s">
        <v>7</v>
      </c>
      <c r="X23" s="2">
        <v>25</v>
      </c>
      <c r="Y23" s="2">
        <v>100</v>
      </c>
      <c r="Z23" s="2">
        <v>0</v>
      </c>
      <c r="AA23" s="2" t="s">
        <v>33</v>
      </c>
      <c r="AB23" s="2" t="s">
        <v>8</v>
      </c>
      <c r="AC23" s="2" t="s">
        <v>9</v>
      </c>
      <c r="AD23" s="2" t="s">
        <v>14</v>
      </c>
      <c r="AE23" s="2" t="s">
        <v>6</v>
      </c>
      <c r="AF23" s="2" t="s">
        <v>19</v>
      </c>
      <c r="AG23" s="2">
        <v>4.8</v>
      </c>
      <c r="AH23" s="8" t="str">
        <f t="shared" si="0"/>
        <v>No</v>
      </c>
      <c r="AI23" s="2">
        <v>4.87</v>
      </c>
      <c r="AJ23" s="2">
        <v>14.1</v>
      </c>
      <c r="AK23" s="8" t="str">
        <f t="shared" si="1"/>
        <v>No</v>
      </c>
      <c r="AL23" s="2">
        <v>42.3</v>
      </c>
      <c r="AM23" s="2">
        <v>86.9</v>
      </c>
      <c r="AN23" s="2">
        <v>29</v>
      </c>
      <c r="AO23" s="2">
        <v>33.299999999999997</v>
      </c>
      <c r="AP23" s="2">
        <v>242</v>
      </c>
      <c r="AQ23" s="8" t="str">
        <f t="shared" si="2"/>
        <v>No</v>
      </c>
      <c r="AR23" s="10" t="str">
        <f t="shared" si="3"/>
        <v>No</v>
      </c>
      <c r="AS23" s="2">
        <v>4.53</v>
      </c>
      <c r="AT23" s="8" t="str">
        <f t="shared" si="4"/>
        <v>No</v>
      </c>
      <c r="AU23" s="10" t="str">
        <f t="shared" si="5"/>
        <v>No</v>
      </c>
      <c r="AV23" s="2">
        <v>1.55</v>
      </c>
      <c r="AW23" s="2">
        <v>34.299999999999997</v>
      </c>
      <c r="AX23" s="2">
        <v>0.16</v>
      </c>
      <c r="AY23" s="2">
        <v>3.5</v>
      </c>
      <c r="AZ23" s="2">
        <v>0.02</v>
      </c>
      <c r="BA23" s="2">
        <v>0.4</v>
      </c>
      <c r="BB23" s="10" t="str">
        <f t="shared" si="6"/>
        <v>Yes</v>
      </c>
      <c r="BC23" s="8" t="str">
        <f t="shared" si="7"/>
        <v>No</v>
      </c>
      <c r="BD23" s="2">
        <v>2.2799999999999998</v>
      </c>
      <c r="BE23" s="2">
        <v>50.3</v>
      </c>
      <c r="BF23" s="10" t="str">
        <f t="shared" si="8"/>
        <v>No</v>
      </c>
      <c r="BG23" s="8" t="str">
        <f t="shared" si="9"/>
        <v>No</v>
      </c>
      <c r="BH23" s="2">
        <v>0.52</v>
      </c>
      <c r="BI23" s="2">
        <v>11.5</v>
      </c>
      <c r="BJ23" s="8" t="str">
        <f t="shared" si="10"/>
        <v>No</v>
      </c>
      <c r="BK23" s="10" t="str">
        <f t="shared" si="11"/>
        <v>No</v>
      </c>
      <c r="BL23" s="2">
        <f t="shared" si="12"/>
        <v>0.67982456140350889</v>
      </c>
      <c r="BM23" s="2">
        <f t="shared" si="13"/>
        <v>0.22807017543859651</v>
      </c>
      <c r="BN23" s="2">
        <f t="shared" si="14"/>
        <v>106.14035087719299</v>
      </c>
    </row>
    <row r="24" spans="1:66" x14ac:dyDescent="0.2">
      <c r="A24" s="2" t="s">
        <v>193</v>
      </c>
      <c r="B24" s="2">
        <v>74</v>
      </c>
      <c r="C24" s="2">
        <v>31.19</v>
      </c>
      <c r="D24" s="2" t="s">
        <v>45</v>
      </c>
      <c r="E24" s="2" t="s">
        <v>48</v>
      </c>
      <c r="F24" s="2" t="s">
        <v>52</v>
      </c>
      <c r="G24" s="2">
        <v>11</v>
      </c>
      <c r="H24" s="2">
        <v>16</v>
      </c>
      <c r="I24" s="2">
        <v>5</v>
      </c>
      <c r="J24" s="2" t="s">
        <v>59</v>
      </c>
      <c r="K24" s="2">
        <v>3</v>
      </c>
      <c r="L24" s="2" t="s">
        <v>63</v>
      </c>
      <c r="M24" s="2" t="s">
        <v>131</v>
      </c>
      <c r="N24" s="2" t="s">
        <v>130</v>
      </c>
      <c r="O24" s="2" t="s">
        <v>131</v>
      </c>
      <c r="P24" s="2" t="s">
        <v>130</v>
      </c>
      <c r="Q24" s="2" t="s">
        <v>130</v>
      </c>
      <c r="R24" s="2" t="s">
        <v>130</v>
      </c>
      <c r="S24" s="2" t="s">
        <v>130</v>
      </c>
      <c r="T24" s="2" t="s">
        <v>131</v>
      </c>
      <c r="U24" s="2" t="s">
        <v>130</v>
      </c>
      <c r="V24" s="2" t="s">
        <v>130</v>
      </c>
      <c r="W24" s="2" t="s">
        <v>7</v>
      </c>
      <c r="X24" s="2">
        <v>30</v>
      </c>
      <c r="Y24" s="2">
        <v>95</v>
      </c>
      <c r="Z24" s="2">
        <v>0</v>
      </c>
      <c r="AA24" s="2" t="s">
        <v>33</v>
      </c>
      <c r="AB24" s="2" t="s">
        <v>8</v>
      </c>
      <c r="AC24" s="2" t="s">
        <v>20</v>
      </c>
      <c r="AD24" s="2" t="s">
        <v>14</v>
      </c>
      <c r="AE24" s="2" t="s">
        <v>6</v>
      </c>
      <c r="AF24" s="2" t="s">
        <v>19</v>
      </c>
      <c r="AG24" s="2">
        <v>17.5</v>
      </c>
      <c r="AH24" s="8" t="str">
        <f t="shared" si="0"/>
        <v>Yes</v>
      </c>
      <c r="AI24" s="2">
        <v>5.14</v>
      </c>
      <c r="AJ24" s="2">
        <v>14.9</v>
      </c>
      <c r="AK24" s="8" t="str">
        <f t="shared" si="1"/>
        <v>No</v>
      </c>
      <c r="AL24" s="2">
        <v>45.8</v>
      </c>
      <c r="AM24" s="2">
        <v>89.1</v>
      </c>
      <c r="AN24" s="2">
        <v>29</v>
      </c>
      <c r="AO24" s="2">
        <v>32.5</v>
      </c>
      <c r="AP24" s="2">
        <v>334</v>
      </c>
      <c r="AQ24" s="8" t="str">
        <f t="shared" si="2"/>
        <v>No</v>
      </c>
      <c r="AR24" s="10" t="str">
        <f t="shared" si="3"/>
        <v>No</v>
      </c>
      <c r="AS24" s="2">
        <v>8.3000000000000007</v>
      </c>
      <c r="AT24" s="8" t="str">
        <f t="shared" si="4"/>
        <v>No</v>
      </c>
      <c r="AU24" s="10" t="str">
        <f t="shared" si="5"/>
        <v>No</v>
      </c>
      <c r="AV24" s="2">
        <v>6.01</v>
      </c>
      <c r="AW24" s="2">
        <v>86</v>
      </c>
      <c r="AX24" s="2">
        <v>0.02</v>
      </c>
      <c r="AY24" s="2">
        <v>1.1000000000000001</v>
      </c>
      <c r="AZ24" s="2">
        <v>0.03</v>
      </c>
      <c r="BA24" s="2">
        <v>0.7</v>
      </c>
      <c r="BB24" s="10" t="str">
        <f t="shared" si="6"/>
        <v>No</v>
      </c>
      <c r="BC24" s="8" t="str">
        <f t="shared" si="7"/>
        <v>No</v>
      </c>
      <c r="BD24" s="2">
        <v>1.73</v>
      </c>
      <c r="BE24" s="2">
        <v>20.8</v>
      </c>
      <c r="BF24" s="10" t="str">
        <f t="shared" si="8"/>
        <v>No</v>
      </c>
      <c r="BG24" s="8" t="str">
        <f t="shared" si="9"/>
        <v>No</v>
      </c>
      <c r="BH24" s="2">
        <v>0.51</v>
      </c>
      <c r="BI24" s="2">
        <v>6.1</v>
      </c>
      <c r="BJ24" s="8" t="str">
        <f t="shared" si="10"/>
        <v>No</v>
      </c>
      <c r="BK24" s="10" t="str">
        <f t="shared" si="11"/>
        <v>No</v>
      </c>
      <c r="BL24" s="2">
        <f t="shared" si="12"/>
        <v>3.4739884393063583</v>
      </c>
      <c r="BM24" s="2">
        <f t="shared" si="13"/>
        <v>0.2947976878612717</v>
      </c>
      <c r="BN24" s="2">
        <f t="shared" si="14"/>
        <v>193.06358381502889</v>
      </c>
    </row>
    <row r="25" spans="1:66" x14ac:dyDescent="0.2">
      <c r="A25" s="2" t="s">
        <v>194</v>
      </c>
      <c r="B25" s="2">
        <v>44</v>
      </c>
      <c r="C25" s="2">
        <v>21.63</v>
      </c>
      <c r="D25" s="2" t="s">
        <v>45</v>
      </c>
      <c r="E25" s="2" t="s">
        <v>48</v>
      </c>
      <c r="F25" s="2" t="s">
        <v>55</v>
      </c>
      <c r="G25" s="2">
        <v>13</v>
      </c>
      <c r="H25" s="2">
        <v>19</v>
      </c>
      <c r="I25" s="2">
        <v>4</v>
      </c>
      <c r="J25" s="2" t="s">
        <v>59</v>
      </c>
      <c r="K25" s="2">
        <v>4</v>
      </c>
      <c r="L25" s="2" t="s">
        <v>63</v>
      </c>
      <c r="M25" s="2" t="s">
        <v>130</v>
      </c>
      <c r="N25" s="2" t="s">
        <v>130</v>
      </c>
      <c r="O25" s="3" t="s">
        <v>130</v>
      </c>
      <c r="P25" s="2" t="s">
        <v>130</v>
      </c>
      <c r="Q25" s="2" t="s">
        <v>131</v>
      </c>
      <c r="R25" s="2" t="s">
        <v>130</v>
      </c>
      <c r="S25" s="2" t="s">
        <v>130</v>
      </c>
      <c r="T25" s="2" t="s">
        <v>131</v>
      </c>
      <c r="U25" s="2" t="s">
        <v>130</v>
      </c>
      <c r="V25" s="2" t="s">
        <v>130</v>
      </c>
      <c r="W25" s="2" t="s">
        <v>17</v>
      </c>
      <c r="X25" s="2">
        <v>60</v>
      </c>
      <c r="Y25" s="2">
        <v>80</v>
      </c>
      <c r="Z25" s="2">
        <v>0</v>
      </c>
      <c r="AA25" s="2" t="s">
        <v>33</v>
      </c>
      <c r="AB25" s="2" t="s">
        <v>16</v>
      </c>
      <c r="AC25" s="2" t="s">
        <v>18</v>
      </c>
      <c r="AD25" s="2" t="s">
        <v>14</v>
      </c>
      <c r="AE25" s="2" t="s">
        <v>6</v>
      </c>
      <c r="AF25" s="2" t="s">
        <v>24</v>
      </c>
      <c r="AG25" s="2">
        <v>13.7</v>
      </c>
      <c r="AH25" s="8" t="str">
        <f t="shared" si="0"/>
        <v>Yes</v>
      </c>
      <c r="AI25" s="2">
        <v>4.54</v>
      </c>
      <c r="AJ25" s="2">
        <v>10.199999999999999</v>
      </c>
      <c r="AK25" s="8" t="str">
        <f t="shared" si="1"/>
        <v>Yes</v>
      </c>
      <c r="AL25" s="2">
        <v>31.6</v>
      </c>
      <c r="AM25" s="2">
        <v>69.599999999999994</v>
      </c>
      <c r="AN25" s="2">
        <v>22.5</v>
      </c>
      <c r="AO25" s="2">
        <v>32.299999999999997</v>
      </c>
      <c r="AP25" s="2">
        <v>359</v>
      </c>
      <c r="AQ25" s="8" t="str">
        <f t="shared" si="2"/>
        <v>No</v>
      </c>
      <c r="AR25" s="10" t="str">
        <f t="shared" si="3"/>
        <v>No</v>
      </c>
      <c r="AS25" s="2">
        <v>5.32</v>
      </c>
      <c r="AT25" s="8" t="str">
        <f t="shared" si="4"/>
        <v>No</v>
      </c>
      <c r="AU25" s="10" t="str">
        <f t="shared" si="5"/>
        <v>No</v>
      </c>
      <c r="AV25" s="2">
        <v>3.62</v>
      </c>
      <c r="AW25" s="2">
        <v>88</v>
      </c>
      <c r="AX25" s="2">
        <v>0.08</v>
      </c>
      <c r="AY25" s="2">
        <v>1.5</v>
      </c>
      <c r="AZ25" s="2">
        <v>0.04</v>
      </c>
      <c r="BA25" s="2">
        <v>0.8</v>
      </c>
      <c r="BB25" s="10" t="str">
        <f t="shared" si="6"/>
        <v>No</v>
      </c>
      <c r="BC25" s="8" t="str">
        <f t="shared" si="7"/>
        <v>No</v>
      </c>
      <c r="BD25" s="2">
        <v>1.1000000000000001</v>
      </c>
      <c r="BE25" s="2">
        <v>20.7</v>
      </c>
      <c r="BF25" s="10" t="str">
        <f t="shared" si="8"/>
        <v>No</v>
      </c>
      <c r="BG25" s="8" t="str">
        <f t="shared" si="9"/>
        <v>No</v>
      </c>
      <c r="BH25" s="2">
        <v>0.48</v>
      </c>
      <c r="BI25" s="2">
        <v>9</v>
      </c>
      <c r="BJ25" s="8" t="str">
        <f t="shared" si="10"/>
        <v>No</v>
      </c>
      <c r="BK25" s="10" t="str">
        <f t="shared" si="11"/>
        <v>No</v>
      </c>
      <c r="BL25" s="2">
        <f t="shared" si="12"/>
        <v>3.2909090909090906</v>
      </c>
      <c r="BM25" s="2">
        <f t="shared" si="13"/>
        <v>0.43636363636363629</v>
      </c>
      <c r="BN25" s="2">
        <f t="shared" si="14"/>
        <v>326.36363636363632</v>
      </c>
    </row>
    <row r="26" spans="1:66" x14ac:dyDescent="0.2">
      <c r="A26" s="2" t="s">
        <v>195</v>
      </c>
      <c r="B26" s="2">
        <v>55</v>
      </c>
      <c r="C26" s="2">
        <v>24.91</v>
      </c>
      <c r="D26" s="2" t="s">
        <v>45</v>
      </c>
      <c r="E26" s="2" t="s">
        <v>48</v>
      </c>
      <c r="F26" s="2" t="s">
        <v>55</v>
      </c>
      <c r="G26" s="2">
        <v>14</v>
      </c>
      <c r="H26" s="2">
        <v>25</v>
      </c>
      <c r="I26" s="2">
        <v>4</v>
      </c>
      <c r="J26" s="2" t="s">
        <v>59</v>
      </c>
      <c r="K26" s="2">
        <v>3</v>
      </c>
      <c r="L26" s="2" t="s">
        <v>63</v>
      </c>
      <c r="M26" s="2" t="s">
        <v>131</v>
      </c>
      <c r="N26" s="2" t="s">
        <v>130</v>
      </c>
      <c r="O26" s="2" t="s">
        <v>131</v>
      </c>
      <c r="P26" s="2" t="s">
        <v>130</v>
      </c>
      <c r="Q26" s="2" t="s">
        <v>130</v>
      </c>
      <c r="R26" s="2" t="s">
        <v>130</v>
      </c>
      <c r="S26" s="2" t="s">
        <v>130</v>
      </c>
      <c r="T26" s="2" t="s">
        <v>131</v>
      </c>
      <c r="U26" s="2" t="s">
        <v>130</v>
      </c>
      <c r="V26" s="2" t="s">
        <v>131</v>
      </c>
      <c r="W26" s="2" t="s">
        <v>7</v>
      </c>
      <c r="X26" s="2">
        <v>30</v>
      </c>
      <c r="Y26" s="2">
        <v>95</v>
      </c>
      <c r="Z26" s="2">
        <v>0</v>
      </c>
      <c r="AA26" s="2" t="s">
        <v>33</v>
      </c>
      <c r="AB26" s="2" t="s">
        <v>13</v>
      </c>
      <c r="AC26" s="2" t="s">
        <v>18</v>
      </c>
      <c r="AD26" s="2" t="s">
        <v>14</v>
      </c>
      <c r="AE26" s="2" t="s">
        <v>6</v>
      </c>
      <c r="AF26" s="2" t="s">
        <v>15</v>
      </c>
      <c r="AG26" s="2">
        <v>3.1</v>
      </c>
      <c r="AH26" s="8" t="str">
        <f t="shared" si="0"/>
        <v>No</v>
      </c>
      <c r="AI26" s="2">
        <v>4.3</v>
      </c>
      <c r="AJ26" s="2">
        <v>12.1</v>
      </c>
      <c r="AK26" s="8" t="str">
        <f t="shared" si="1"/>
        <v>No</v>
      </c>
      <c r="AL26" s="2">
        <v>37.4</v>
      </c>
      <c r="AM26" s="2">
        <v>87</v>
      </c>
      <c r="AN26" s="2">
        <v>28.1</v>
      </c>
      <c r="AO26" s="2">
        <v>32.4</v>
      </c>
      <c r="AP26" s="2">
        <v>335</v>
      </c>
      <c r="AQ26" s="8" t="str">
        <f t="shared" si="2"/>
        <v>No</v>
      </c>
      <c r="AR26" s="10" t="str">
        <f t="shared" si="3"/>
        <v>No</v>
      </c>
      <c r="AS26" s="2">
        <v>6.75</v>
      </c>
      <c r="AT26" s="8" t="str">
        <f t="shared" si="4"/>
        <v>No</v>
      </c>
      <c r="AU26" s="10" t="str">
        <f t="shared" si="5"/>
        <v>No</v>
      </c>
      <c r="AV26" s="2">
        <v>2</v>
      </c>
      <c r="AW26" s="2">
        <v>29.6</v>
      </c>
      <c r="AX26" s="2">
        <v>0.41</v>
      </c>
      <c r="AY26" s="2">
        <v>6.1</v>
      </c>
      <c r="AZ26" s="2">
        <v>0.03</v>
      </c>
      <c r="BA26" s="2">
        <v>0.4</v>
      </c>
      <c r="BB26" s="10" t="str">
        <f t="shared" si="6"/>
        <v>No</v>
      </c>
      <c r="BC26" s="8" t="str">
        <f t="shared" si="7"/>
        <v>No</v>
      </c>
      <c r="BD26" s="2">
        <v>3.69</v>
      </c>
      <c r="BE26" s="2">
        <v>54.7</v>
      </c>
      <c r="BF26" s="10" t="str">
        <f t="shared" si="8"/>
        <v>No</v>
      </c>
      <c r="BG26" s="8" t="str">
        <f t="shared" si="9"/>
        <v>No</v>
      </c>
      <c r="BH26" s="2">
        <v>0.62</v>
      </c>
      <c r="BI26" s="2">
        <v>9.1999999999999993</v>
      </c>
      <c r="BJ26" s="8" t="str">
        <f t="shared" si="10"/>
        <v>No</v>
      </c>
      <c r="BK26" s="10" t="str">
        <f t="shared" si="11"/>
        <v>No</v>
      </c>
      <c r="BL26" s="2">
        <f t="shared" si="12"/>
        <v>0.5420054200542006</v>
      </c>
      <c r="BM26" s="2">
        <f t="shared" si="13"/>
        <v>0.16802168021680217</v>
      </c>
      <c r="BN26" s="2">
        <f t="shared" si="14"/>
        <v>90.785907859078591</v>
      </c>
    </row>
    <row r="27" spans="1:66" x14ac:dyDescent="0.2">
      <c r="A27" s="2" t="s">
        <v>196</v>
      </c>
      <c r="B27" s="2">
        <v>48</v>
      </c>
      <c r="C27" s="6">
        <v>26.6</v>
      </c>
      <c r="D27" s="2" t="s">
        <v>45</v>
      </c>
      <c r="E27" s="2" t="s">
        <v>76</v>
      </c>
      <c r="F27" s="2" t="s">
        <v>80</v>
      </c>
      <c r="G27" s="2">
        <v>13</v>
      </c>
      <c r="H27" s="2">
        <v>27</v>
      </c>
      <c r="I27" s="2">
        <v>2</v>
      </c>
      <c r="J27" s="2" t="s">
        <v>59</v>
      </c>
      <c r="K27" s="2">
        <v>2</v>
      </c>
      <c r="L27" s="2" t="s">
        <v>63</v>
      </c>
      <c r="M27" s="2" t="s">
        <v>130</v>
      </c>
      <c r="N27" s="2" t="s">
        <v>130</v>
      </c>
      <c r="O27" s="2" t="s">
        <v>131</v>
      </c>
      <c r="P27" s="2" t="s">
        <v>130</v>
      </c>
      <c r="Q27" s="2" t="s">
        <v>131</v>
      </c>
      <c r="R27" s="2" t="s">
        <v>130</v>
      </c>
      <c r="S27" s="2" t="s">
        <v>130</v>
      </c>
      <c r="T27" s="2" t="s">
        <v>131</v>
      </c>
      <c r="U27" s="2" t="s">
        <v>130</v>
      </c>
      <c r="V27" s="2" t="s">
        <v>130</v>
      </c>
      <c r="W27" s="2" t="s">
        <v>7</v>
      </c>
      <c r="X27" s="2">
        <v>40</v>
      </c>
      <c r="Y27" s="2">
        <v>100</v>
      </c>
      <c r="Z27" s="2">
        <v>0</v>
      </c>
      <c r="AA27" s="2" t="s">
        <v>33</v>
      </c>
      <c r="AB27" s="2" t="s">
        <v>13</v>
      </c>
      <c r="AC27" s="2" t="s">
        <v>22</v>
      </c>
      <c r="AD27" s="2" t="s">
        <v>10</v>
      </c>
      <c r="AE27" s="2" t="s">
        <v>5</v>
      </c>
      <c r="AF27" s="2" t="s">
        <v>11</v>
      </c>
      <c r="AG27" s="2">
        <v>11.9</v>
      </c>
      <c r="AH27" s="8" t="str">
        <f t="shared" si="0"/>
        <v>Yes</v>
      </c>
      <c r="AI27" s="2">
        <v>4.6900000000000004</v>
      </c>
      <c r="AJ27" s="2">
        <v>12.3</v>
      </c>
      <c r="AK27" s="8" t="str">
        <f t="shared" si="1"/>
        <v>No</v>
      </c>
      <c r="AL27" s="2">
        <v>38.9</v>
      </c>
      <c r="AM27" s="2">
        <v>82.9</v>
      </c>
      <c r="AN27" s="2">
        <v>26.2</v>
      </c>
      <c r="AO27" s="2">
        <v>31.6</v>
      </c>
      <c r="AP27" s="2">
        <v>315</v>
      </c>
      <c r="AQ27" s="8" t="str">
        <f t="shared" si="2"/>
        <v>No</v>
      </c>
      <c r="AR27" s="10" t="str">
        <f t="shared" si="3"/>
        <v>No</v>
      </c>
      <c r="AS27" s="2">
        <v>4.4800000000000004</v>
      </c>
      <c r="AT27" s="8" t="str">
        <f t="shared" si="4"/>
        <v>No</v>
      </c>
      <c r="AU27" s="10" t="str">
        <f t="shared" si="5"/>
        <v>No</v>
      </c>
      <c r="AV27" s="2">
        <v>1.93</v>
      </c>
      <c r="AW27" s="2">
        <v>43.1</v>
      </c>
      <c r="AX27" s="2">
        <v>0.16</v>
      </c>
      <c r="AY27" s="2">
        <v>2.15</v>
      </c>
      <c r="AZ27" s="2">
        <v>0.04</v>
      </c>
      <c r="BA27" s="2">
        <v>0.8</v>
      </c>
      <c r="BB27" s="10" t="str">
        <f t="shared" si="6"/>
        <v>Yes</v>
      </c>
      <c r="BC27" s="8" t="str">
        <f t="shared" si="7"/>
        <v>No</v>
      </c>
      <c r="BD27" s="2">
        <v>3.69</v>
      </c>
      <c r="BE27" s="2">
        <v>54.7</v>
      </c>
      <c r="BF27" s="10" t="str">
        <f t="shared" si="8"/>
        <v>No</v>
      </c>
      <c r="BG27" s="8" t="str">
        <f t="shared" si="9"/>
        <v>No</v>
      </c>
      <c r="BH27" s="2">
        <v>0.4</v>
      </c>
      <c r="BI27" s="2">
        <v>8.9</v>
      </c>
      <c r="BJ27" s="8" t="str">
        <f t="shared" si="10"/>
        <v>No</v>
      </c>
      <c r="BK27" s="10" t="str">
        <f t="shared" si="11"/>
        <v>No</v>
      </c>
      <c r="BL27" s="2">
        <f t="shared" si="12"/>
        <v>0.52303523035230348</v>
      </c>
      <c r="BM27" s="2">
        <f t="shared" si="13"/>
        <v>0.10840108401084012</v>
      </c>
      <c r="BN27" s="2">
        <f t="shared" si="14"/>
        <v>85.365853658536594</v>
      </c>
    </row>
    <row r="28" spans="1:66" x14ac:dyDescent="0.2">
      <c r="A28" s="2" t="s">
        <v>197</v>
      </c>
      <c r="B28" s="2">
        <v>44</v>
      </c>
      <c r="C28" s="2">
        <v>13.49</v>
      </c>
      <c r="D28" s="2" t="s">
        <v>45</v>
      </c>
      <c r="E28" s="2" t="s">
        <v>48</v>
      </c>
      <c r="F28" s="2" t="s">
        <v>55</v>
      </c>
      <c r="G28" s="2">
        <v>17</v>
      </c>
      <c r="H28" s="2">
        <v>20</v>
      </c>
      <c r="I28" s="2">
        <v>5</v>
      </c>
      <c r="J28" s="2" t="s">
        <v>59</v>
      </c>
      <c r="K28" s="2">
        <v>5</v>
      </c>
      <c r="L28" s="2" t="s">
        <v>63</v>
      </c>
      <c r="M28" s="2" t="s">
        <v>130</v>
      </c>
      <c r="N28" s="2" t="s">
        <v>130</v>
      </c>
      <c r="O28" s="2" t="s">
        <v>131</v>
      </c>
      <c r="P28" s="2" t="s">
        <v>130</v>
      </c>
      <c r="Q28" s="2" t="s">
        <v>130</v>
      </c>
      <c r="R28" s="2" t="s">
        <v>130</v>
      </c>
      <c r="S28" s="2" t="s">
        <v>130</v>
      </c>
      <c r="T28" s="2" t="s">
        <v>131</v>
      </c>
      <c r="U28" s="2" t="s">
        <v>130</v>
      </c>
      <c r="V28" s="2" t="s">
        <v>130</v>
      </c>
      <c r="W28" s="2" t="s">
        <v>17</v>
      </c>
      <c r="X28" s="2">
        <v>70</v>
      </c>
      <c r="Y28" s="2">
        <v>5</v>
      </c>
      <c r="Z28" s="2">
        <v>10</v>
      </c>
      <c r="AA28" s="2" t="s">
        <v>33</v>
      </c>
      <c r="AB28" s="2" t="s">
        <v>8</v>
      </c>
      <c r="AC28" s="2" t="s">
        <v>9</v>
      </c>
      <c r="AD28" s="2" t="s">
        <v>14</v>
      </c>
      <c r="AE28" s="2" t="s">
        <v>6</v>
      </c>
      <c r="AF28" s="2" t="s">
        <v>19</v>
      </c>
      <c r="AG28" s="2">
        <v>0.34399999999999997</v>
      </c>
      <c r="AH28" s="8" t="str">
        <f t="shared" si="0"/>
        <v>No</v>
      </c>
      <c r="AI28" s="2">
        <v>4.68</v>
      </c>
      <c r="AJ28" s="2">
        <v>8.3000000000000007</v>
      </c>
      <c r="AK28" s="8" t="str">
        <f t="shared" si="1"/>
        <v>Yes</v>
      </c>
      <c r="AL28" s="2">
        <v>28.8</v>
      </c>
      <c r="AM28" s="2">
        <v>61.5</v>
      </c>
      <c r="AN28" s="2">
        <v>17.7</v>
      </c>
      <c r="AO28" s="2">
        <v>28.8</v>
      </c>
      <c r="AP28" s="2">
        <v>385</v>
      </c>
      <c r="AQ28" s="8" t="str">
        <f t="shared" si="2"/>
        <v>No</v>
      </c>
      <c r="AR28" s="10" t="str">
        <f t="shared" si="3"/>
        <v>No</v>
      </c>
      <c r="AS28" s="2">
        <v>5.48</v>
      </c>
      <c r="AT28" s="8" t="str">
        <f t="shared" si="4"/>
        <v>No</v>
      </c>
      <c r="AU28" s="10" t="str">
        <f t="shared" si="5"/>
        <v>No</v>
      </c>
      <c r="AV28" s="2">
        <v>2.77</v>
      </c>
      <c r="AW28" s="2">
        <v>50.5</v>
      </c>
      <c r="AX28" s="2">
        <v>0.34</v>
      </c>
      <c r="AY28" s="2">
        <v>6.2</v>
      </c>
      <c r="AZ28" s="2">
        <v>0.09</v>
      </c>
      <c r="BA28" s="2">
        <v>1.6</v>
      </c>
      <c r="BB28" s="10" t="str">
        <f t="shared" si="6"/>
        <v>No</v>
      </c>
      <c r="BC28" s="8" t="str">
        <f t="shared" si="7"/>
        <v>No</v>
      </c>
      <c r="BD28" s="2">
        <v>1.91</v>
      </c>
      <c r="BE28" s="2">
        <v>34.9</v>
      </c>
      <c r="BF28" s="10" t="str">
        <f t="shared" si="8"/>
        <v>No</v>
      </c>
      <c r="BG28" s="8" t="str">
        <f t="shared" si="9"/>
        <v>No</v>
      </c>
      <c r="BH28" s="2">
        <v>0.37</v>
      </c>
      <c r="BI28" s="2">
        <v>6.8</v>
      </c>
      <c r="BJ28" s="8" t="str">
        <f t="shared" si="10"/>
        <v>No</v>
      </c>
      <c r="BK28" s="10" t="str">
        <f t="shared" si="11"/>
        <v>No</v>
      </c>
      <c r="BL28" s="2">
        <f t="shared" si="12"/>
        <v>1.4502617801047122</v>
      </c>
      <c r="BM28" s="2">
        <f t="shared" si="13"/>
        <v>0.193717277486911</v>
      </c>
      <c r="BN28" s="2">
        <f t="shared" si="14"/>
        <v>201.57068062827227</v>
      </c>
    </row>
    <row r="29" spans="1:66" x14ac:dyDescent="0.2">
      <c r="A29" s="2" t="s">
        <v>198</v>
      </c>
      <c r="B29" s="2">
        <v>32</v>
      </c>
      <c r="C29" s="2">
        <v>23.25</v>
      </c>
      <c r="D29" s="2" t="s">
        <v>45</v>
      </c>
      <c r="E29" s="2" t="s">
        <v>46</v>
      </c>
      <c r="F29" s="2" t="s">
        <v>55</v>
      </c>
      <c r="G29" s="2">
        <v>14</v>
      </c>
      <c r="H29" s="2">
        <v>20</v>
      </c>
      <c r="I29" s="2">
        <v>3</v>
      </c>
      <c r="J29" s="2" t="s">
        <v>59</v>
      </c>
      <c r="K29" s="2">
        <v>2</v>
      </c>
      <c r="L29" s="2" t="s">
        <v>63</v>
      </c>
      <c r="M29" s="2" t="s">
        <v>131</v>
      </c>
      <c r="N29" s="2" t="s">
        <v>130</v>
      </c>
      <c r="O29" s="3" t="s">
        <v>130</v>
      </c>
      <c r="P29" s="2" t="s">
        <v>130</v>
      </c>
      <c r="Q29" s="2" t="s">
        <v>131</v>
      </c>
      <c r="R29" s="2" t="s">
        <v>130</v>
      </c>
      <c r="S29" s="2" t="s">
        <v>130</v>
      </c>
      <c r="T29" s="2" t="s">
        <v>131</v>
      </c>
      <c r="U29" s="2" t="s">
        <v>130</v>
      </c>
      <c r="V29" s="2" t="s">
        <v>130</v>
      </c>
      <c r="W29" s="2" t="s">
        <v>12</v>
      </c>
      <c r="X29" s="2">
        <v>70</v>
      </c>
      <c r="Y29" s="2">
        <v>50</v>
      </c>
      <c r="Z29" s="2">
        <v>40</v>
      </c>
      <c r="AA29" s="2" t="s">
        <v>33</v>
      </c>
      <c r="AB29" s="2" t="s">
        <v>21</v>
      </c>
      <c r="AC29" s="2" t="s">
        <v>9</v>
      </c>
      <c r="AD29" s="2" t="s">
        <v>14</v>
      </c>
      <c r="AE29" s="2" t="s">
        <v>6</v>
      </c>
      <c r="AF29" s="2" t="s">
        <v>19</v>
      </c>
      <c r="AG29" s="2">
        <v>8.75</v>
      </c>
      <c r="AH29" s="8" t="str">
        <f t="shared" si="0"/>
        <v>Yes</v>
      </c>
      <c r="AI29" s="2">
        <v>4.13</v>
      </c>
      <c r="AJ29" s="2">
        <v>11.2</v>
      </c>
      <c r="AK29" s="8" t="str">
        <f t="shared" si="1"/>
        <v>Yes</v>
      </c>
      <c r="AL29" s="2">
        <v>33.4</v>
      </c>
      <c r="AM29" s="2">
        <v>80.900000000000006</v>
      </c>
      <c r="AN29" s="2">
        <v>27.1</v>
      </c>
      <c r="AO29" s="2">
        <v>33.5</v>
      </c>
      <c r="AP29" s="2">
        <v>182</v>
      </c>
      <c r="AQ29" s="8" t="str">
        <f t="shared" si="2"/>
        <v>No</v>
      </c>
      <c r="AR29" s="10" t="str">
        <f t="shared" si="3"/>
        <v>No</v>
      </c>
      <c r="AS29" s="2">
        <v>7.14</v>
      </c>
      <c r="AT29" s="8" t="str">
        <f t="shared" si="4"/>
        <v>No</v>
      </c>
      <c r="AU29" s="10" t="str">
        <f t="shared" si="5"/>
        <v>No</v>
      </c>
      <c r="AV29" s="2">
        <v>6.2</v>
      </c>
      <c r="AW29" s="2">
        <v>86.8</v>
      </c>
      <c r="AX29" s="2">
        <v>0</v>
      </c>
      <c r="AY29" s="2">
        <v>0</v>
      </c>
      <c r="AZ29" s="2">
        <v>0.02</v>
      </c>
      <c r="BA29" s="2">
        <v>0.3</v>
      </c>
      <c r="BB29" s="10" t="str">
        <f t="shared" si="6"/>
        <v>No</v>
      </c>
      <c r="BC29" s="8" t="str">
        <f t="shared" si="7"/>
        <v>No</v>
      </c>
      <c r="BD29" s="2">
        <v>0.5</v>
      </c>
      <c r="BE29" s="2">
        <v>7</v>
      </c>
      <c r="BF29" s="10" t="str">
        <f t="shared" si="8"/>
        <v>Yes</v>
      </c>
      <c r="BG29" s="8" t="str">
        <f t="shared" si="9"/>
        <v>No</v>
      </c>
      <c r="BH29" s="2">
        <v>0.32</v>
      </c>
      <c r="BI29" s="2">
        <v>7.7</v>
      </c>
      <c r="BJ29" s="8" t="str">
        <f t="shared" si="10"/>
        <v>No</v>
      </c>
      <c r="BK29" s="10" t="str">
        <f t="shared" si="11"/>
        <v>No</v>
      </c>
      <c r="BL29" s="2">
        <f t="shared" si="12"/>
        <v>12.4</v>
      </c>
      <c r="BM29" s="2">
        <f t="shared" si="13"/>
        <v>0.64</v>
      </c>
      <c r="BN29" s="2">
        <f t="shared" si="14"/>
        <v>364</v>
      </c>
    </row>
    <row r="30" spans="1:66" x14ac:dyDescent="0.2">
      <c r="A30" s="2" t="s">
        <v>199</v>
      </c>
      <c r="B30" s="2">
        <v>28</v>
      </c>
      <c r="C30" s="2">
        <v>20.96</v>
      </c>
      <c r="D30" s="2" t="s">
        <v>45</v>
      </c>
      <c r="E30" s="2" t="s">
        <v>48</v>
      </c>
      <c r="F30" s="2" t="s">
        <v>52</v>
      </c>
      <c r="G30" s="2">
        <v>10</v>
      </c>
      <c r="H30" s="2">
        <v>20</v>
      </c>
      <c r="I30" s="2">
        <v>3</v>
      </c>
      <c r="J30" s="2" t="s">
        <v>59</v>
      </c>
      <c r="K30" s="2">
        <v>2</v>
      </c>
      <c r="L30" s="2" t="s">
        <v>63</v>
      </c>
      <c r="M30" s="2" t="s">
        <v>131</v>
      </c>
      <c r="N30" s="2" t="s">
        <v>130</v>
      </c>
      <c r="O30" s="3" t="s">
        <v>130</v>
      </c>
      <c r="P30" s="2" t="s">
        <v>131</v>
      </c>
      <c r="Q30" s="2" t="s">
        <v>130</v>
      </c>
      <c r="R30" s="2" t="s">
        <v>130</v>
      </c>
      <c r="S30" s="2" t="s">
        <v>130</v>
      </c>
      <c r="T30" s="2" t="s">
        <v>131</v>
      </c>
      <c r="U30" s="2" t="s">
        <v>130</v>
      </c>
      <c r="V30" s="2" t="s">
        <v>130</v>
      </c>
      <c r="W30" s="2" t="s">
        <v>17</v>
      </c>
      <c r="X30" s="2">
        <v>70</v>
      </c>
      <c r="Y30" s="2">
        <v>90</v>
      </c>
      <c r="Z30" s="2">
        <v>20</v>
      </c>
      <c r="AA30" s="2" t="s">
        <v>33</v>
      </c>
      <c r="AB30" s="2" t="s">
        <v>21</v>
      </c>
      <c r="AC30" s="2" t="s">
        <v>9</v>
      </c>
      <c r="AD30" s="2" t="s">
        <v>14</v>
      </c>
      <c r="AE30" s="2" t="s">
        <v>6</v>
      </c>
      <c r="AF30" s="2" t="s">
        <v>19</v>
      </c>
      <c r="AG30" s="2">
        <v>0.74399999999999999</v>
      </c>
      <c r="AH30" s="8" t="str">
        <f t="shared" si="0"/>
        <v>No</v>
      </c>
      <c r="AI30" s="2">
        <v>4.93</v>
      </c>
      <c r="AJ30" s="2">
        <v>12.3</v>
      </c>
      <c r="AK30" s="8" t="str">
        <f t="shared" si="1"/>
        <v>No</v>
      </c>
      <c r="AL30" s="2">
        <v>35.6</v>
      </c>
      <c r="AM30" s="2">
        <v>72.2</v>
      </c>
      <c r="AN30" s="2">
        <v>25</v>
      </c>
      <c r="AO30" s="2">
        <v>34.700000000000003</v>
      </c>
      <c r="AP30" s="2">
        <v>242</v>
      </c>
      <c r="AQ30" s="8" t="str">
        <f t="shared" si="2"/>
        <v>No</v>
      </c>
      <c r="AR30" s="10" t="str">
        <f t="shared" si="3"/>
        <v>No</v>
      </c>
      <c r="AS30" s="2">
        <v>4.1399999999999997</v>
      </c>
      <c r="AT30" s="8" t="str">
        <f t="shared" si="4"/>
        <v>No</v>
      </c>
      <c r="AU30" s="10" t="str">
        <f t="shared" si="5"/>
        <v>No</v>
      </c>
      <c r="AV30" s="2">
        <v>1.78</v>
      </c>
      <c r="AW30" s="2">
        <v>43.2</v>
      </c>
      <c r="AX30" s="2">
        <v>0.05</v>
      </c>
      <c r="AY30" s="2">
        <v>1.3</v>
      </c>
      <c r="AZ30" s="2">
        <v>0.06</v>
      </c>
      <c r="BA30" s="2">
        <v>1.4</v>
      </c>
      <c r="BB30" s="10" t="str">
        <f t="shared" si="6"/>
        <v>Yes</v>
      </c>
      <c r="BC30" s="8" t="str">
        <f t="shared" si="7"/>
        <v>No</v>
      </c>
      <c r="BD30" s="2">
        <v>1.91</v>
      </c>
      <c r="BE30" s="2">
        <v>46.4</v>
      </c>
      <c r="BF30" s="10" t="str">
        <f t="shared" si="8"/>
        <v>No</v>
      </c>
      <c r="BG30" s="8" t="str">
        <f t="shared" si="9"/>
        <v>No</v>
      </c>
      <c r="BH30" s="2">
        <v>0.32</v>
      </c>
      <c r="BI30" s="2">
        <v>7.7</v>
      </c>
      <c r="BJ30" s="8" t="str">
        <f t="shared" si="10"/>
        <v>No</v>
      </c>
      <c r="BK30" s="10" t="str">
        <f t="shared" si="11"/>
        <v>No</v>
      </c>
      <c r="BL30" s="2">
        <f t="shared" si="12"/>
        <v>0.9319371727748692</v>
      </c>
      <c r="BM30" s="2">
        <f t="shared" si="13"/>
        <v>0.16753926701570682</v>
      </c>
      <c r="BN30" s="2">
        <f t="shared" si="14"/>
        <v>126.70157068062828</v>
      </c>
    </row>
    <row r="31" spans="1:66" x14ac:dyDescent="0.2">
      <c r="A31" s="2" t="s">
        <v>200</v>
      </c>
      <c r="B31" s="2">
        <v>40</v>
      </c>
      <c r="C31" s="2">
        <v>26.72</v>
      </c>
      <c r="D31" s="2" t="s">
        <v>45</v>
      </c>
      <c r="E31" s="2" t="s">
        <v>48</v>
      </c>
      <c r="F31" s="2" t="s">
        <v>52</v>
      </c>
      <c r="G31" s="2">
        <v>15</v>
      </c>
      <c r="H31" s="2">
        <v>18</v>
      </c>
      <c r="I31" s="2">
        <v>8</v>
      </c>
      <c r="J31" s="2" t="s">
        <v>59</v>
      </c>
      <c r="K31" s="2">
        <v>8</v>
      </c>
      <c r="L31" s="2" t="s">
        <v>63</v>
      </c>
      <c r="M31" s="2" t="s">
        <v>130</v>
      </c>
      <c r="N31" s="2" t="s">
        <v>130</v>
      </c>
      <c r="O31" s="2" t="s">
        <v>131</v>
      </c>
      <c r="P31" s="2" t="s">
        <v>130</v>
      </c>
      <c r="Q31" s="2" t="s">
        <v>131</v>
      </c>
      <c r="R31" s="2" t="s">
        <v>130</v>
      </c>
      <c r="S31" s="2" t="s">
        <v>130</v>
      </c>
      <c r="T31" s="2" t="s">
        <v>130</v>
      </c>
      <c r="U31" s="2" t="s">
        <v>130</v>
      </c>
      <c r="V31" s="2" t="s">
        <v>130</v>
      </c>
      <c r="W31" s="2" t="s">
        <v>17</v>
      </c>
      <c r="X31" s="2">
        <v>70</v>
      </c>
      <c r="Y31" s="2">
        <v>50</v>
      </c>
      <c r="Z31" s="2">
        <v>10</v>
      </c>
      <c r="AA31" s="2" t="s">
        <v>33</v>
      </c>
      <c r="AB31" s="2" t="s">
        <v>21</v>
      </c>
      <c r="AC31" s="2" t="s">
        <v>9</v>
      </c>
      <c r="AD31" s="2" t="s">
        <v>10</v>
      </c>
      <c r="AE31" s="2" t="s">
        <v>5</v>
      </c>
      <c r="AF31" s="2" t="s">
        <v>11</v>
      </c>
      <c r="AG31" s="2">
        <v>14.6</v>
      </c>
      <c r="AH31" s="8" t="str">
        <f t="shared" si="0"/>
        <v>Yes</v>
      </c>
      <c r="AI31" s="2">
        <v>4.9400000000000004</v>
      </c>
      <c r="AJ31" s="2">
        <v>13.4</v>
      </c>
      <c r="AK31" s="8" t="str">
        <f t="shared" si="1"/>
        <v>No</v>
      </c>
      <c r="AL31" s="2">
        <v>41.7</v>
      </c>
      <c r="AM31" s="2">
        <v>84.4</v>
      </c>
      <c r="AN31" s="2">
        <v>27.1</v>
      </c>
      <c r="AO31" s="2">
        <v>32.1</v>
      </c>
      <c r="AP31" s="2">
        <v>268</v>
      </c>
      <c r="AQ31" s="8" t="str">
        <f t="shared" si="2"/>
        <v>No</v>
      </c>
      <c r="AR31" s="10" t="str">
        <f t="shared" si="3"/>
        <v>No</v>
      </c>
      <c r="AS31" s="2">
        <v>6.92</v>
      </c>
      <c r="AT31" s="8" t="str">
        <f t="shared" si="4"/>
        <v>No</v>
      </c>
      <c r="AU31" s="10" t="str">
        <f t="shared" si="5"/>
        <v>No</v>
      </c>
      <c r="AV31" s="2">
        <v>2.81</v>
      </c>
      <c r="AW31" s="2">
        <v>40.6</v>
      </c>
      <c r="AX31" s="2">
        <v>0.2</v>
      </c>
      <c r="AY31" s="2">
        <v>2.9</v>
      </c>
      <c r="AZ31" s="2">
        <v>0.06</v>
      </c>
      <c r="BA31" s="2">
        <v>0.9</v>
      </c>
      <c r="BB31" s="10" t="str">
        <f t="shared" si="6"/>
        <v>No</v>
      </c>
      <c r="BC31" s="8" t="str">
        <f t="shared" si="7"/>
        <v>No</v>
      </c>
      <c r="BD31" s="2">
        <v>3.48</v>
      </c>
      <c r="BE31" s="2">
        <v>50.3</v>
      </c>
      <c r="BF31" s="10" t="str">
        <f t="shared" si="8"/>
        <v>No</v>
      </c>
      <c r="BG31" s="8" t="str">
        <f t="shared" si="9"/>
        <v>No</v>
      </c>
      <c r="BH31" s="2">
        <v>0.37</v>
      </c>
      <c r="BI31" s="2">
        <v>5.3</v>
      </c>
      <c r="BJ31" s="8" t="str">
        <f t="shared" si="10"/>
        <v>No</v>
      </c>
      <c r="BK31" s="10" t="str">
        <f t="shared" si="11"/>
        <v>No</v>
      </c>
      <c r="BL31" s="2">
        <f t="shared" si="12"/>
        <v>0.80747126436781613</v>
      </c>
      <c r="BM31" s="2">
        <f t="shared" si="13"/>
        <v>0.10632183908045977</v>
      </c>
      <c r="BN31" s="2">
        <f t="shared" si="14"/>
        <v>77.011494252873561</v>
      </c>
    </row>
    <row r="32" spans="1:66" x14ac:dyDescent="0.2">
      <c r="A32" s="2" t="s">
        <v>201</v>
      </c>
      <c r="B32" s="2">
        <v>45</v>
      </c>
      <c r="C32" s="2">
        <v>21.05</v>
      </c>
      <c r="D32" s="2" t="s">
        <v>45</v>
      </c>
      <c r="E32" s="2" t="s">
        <v>47</v>
      </c>
      <c r="F32" s="2" t="s">
        <v>52</v>
      </c>
      <c r="G32" s="2">
        <v>14</v>
      </c>
      <c r="H32" s="2">
        <v>25</v>
      </c>
      <c r="I32" s="2">
        <v>4</v>
      </c>
      <c r="J32" s="2" t="s">
        <v>59</v>
      </c>
      <c r="K32" s="2">
        <v>3</v>
      </c>
      <c r="L32" s="2" t="s">
        <v>63</v>
      </c>
      <c r="M32" s="2" t="s">
        <v>131</v>
      </c>
      <c r="N32" s="2" t="s">
        <v>130</v>
      </c>
      <c r="O32" s="3" t="s">
        <v>130</v>
      </c>
      <c r="P32" s="2" t="s">
        <v>131</v>
      </c>
      <c r="Q32" s="2" t="s">
        <v>131</v>
      </c>
      <c r="R32" s="2" t="s">
        <v>130</v>
      </c>
      <c r="S32" s="2" t="s">
        <v>130</v>
      </c>
      <c r="T32" s="2" t="s">
        <v>131</v>
      </c>
      <c r="U32" s="2" t="s">
        <v>130</v>
      </c>
      <c r="V32" s="2" t="s">
        <v>130</v>
      </c>
      <c r="W32" s="2" t="s">
        <v>7</v>
      </c>
      <c r="X32" s="2">
        <v>70</v>
      </c>
      <c r="Y32" s="2">
        <v>80</v>
      </c>
      <c r="Z32" s="2">
        <v>85</v>
      </c>
      <c r="AA32" s="2" t="s">
        <v>33</v>
      </c>
      <c r="AB32" s="2" t="s">
        <v>21</v>
      </c>
      <c r="AC32" s="2" t="s">
        <v>18</v>
      </c>
      <c r="AD32" s="2" t="s">
        <v>14</v>
      </c>
      <c r="AE32" s="2" t="s">
        <v>6</v>
      </c>
      <c r="AF32" s="2" t="s">
        <v>15</v>
      </c>
      <c r="AG32" s="2">
        <v>7.39</v>
      </c>
      <c r="AH32" s="8" t="str">
        <f t="shared" si="0"/>
        <v>Yes</v>
      </c>
      <c r="AI32" s="2">
        <v>4.7300000000000004</v>
      </c>
      <c r="AJ32" s="2">
        <v>13.6</v>
      </c>
      <c r="AK32" s="8" t="str">
        <f t="shared" si="1"/>
        <v>No</v>
      </c>
      <c r="AL32" s="2">
        <v>38.6</v>
      </c>
      <c r="AM32" s="2">
        <v>81.8</v>
      </c>
      <c r="AN32" s="2">
        <v>28.8</v>
      </c>
      <c r="AO32" s="2">
        <v>35.200000000000003</v>
      </c>
      <c r="AP32" s="2">
        <v>416</v>
      </c>
      <c r="AQ32" s="8" t="str">
        <f t="shared" si="2"/>
        <v>Yes</v>
      </c>
      <c r="AR32" s="10" t="str">
        <f t="shared" si="3"/>
        <v>No</v>
      </c>
      <c r="AS32" s="2">
        <v>6.53</v>
      </c>
      <c r="AT32" s="8" t="str">
        <f t="shared" si="4"/>
        <v>No</v>
      </c>
      <c r="AU32" s="10" t="str">
        <f t="shared" si="5"/>
        <v>No</v>
      </c>
      <c r="AV32" s="2">
        <v>3.56</v>
      </c>
      <c r="AW32" s="2">
        <v>54.6</v>
      </c>
      <c r="AX32" s="2">
        <v>7.0000000000000007E-2</v>
      </c>
      <c r="AY32" s="2">
        <v>1.1000000000000001</v>
      </c>
      <c r="AZ32" s="2">
        <v>0.12</v>
      </c>
      <c r="BA32" s="2">
        <v>1.8</v>
      </c>
      <c r="BB32" s="10" t="str">
        <f t="shared" si="6"/>
        <v>No</v>
      </c>
      <c r="BC32" s="8" t="str">
        <f t="shared" si="7"/>
        <v>No</v>
      </c>
      <c r="BD32" s="2">
        <v>2.41</v>
      </c>
      <c r="BE32" s="2">
        <v>37.1</v>
      </c>
      <c r="BF32" s="10" t="str">
        <f t="shared" si="8"/>
        <v>No</v>
      </c>
      <c r="BG32" s="8" t="str">
        <f t="shared" si="9"/>
        <v>No</v>
      </c>
      <c r="BH32" s="2">
        <v>0.35</v>
      </c>
      <c r="BI32" s="2">
        <v>5.4</v>
      </c>
      <c r="BJ32" s="8" t="str">
        <f t="shared" si="10"/>
        <v>No</v>
      </c>
      <c r="BK32" s="10" t="str">
        <f t="shared" si="11"/>
        <v>No</v>
      </c>
      <c r="BL32" s="2">
        <f t="shared" si="12"/>
        <v>1.4771784232365144</v>
      </c>
      <c r="BM32" s="2">
        <f t="shared" si="13"/>
        <v>0.14522821576763484</v>
      </c>
      <c r="BN32" s="2">
        <f t="shared" si="14"/>
        <v>172.61410788381741</v>
      </c>
    </row>
    <row r="33" spans="1:66" x14ac:dyDescent="0.2">
      <c r="A33" s="2" t="s">
        <v>202</v>
      </c>
      <c r="B33" s="2">
        <v>60</v>
      </c>
      <c r="C33" s="2">
        <v>22.1</v>
      </c>
      <c r="D33" s="2" t="s">
        <v>45</v>
      </c>
      <c r="E33" s="2" t="s">
        <v>47</v>
      </c>
      <c r="F33" s="2" t="s">
        <v>55</v>
      </c>
      <c r="G33" s="2">
        <v>10</v>
      </c>
      <c r="H33" s="2">
        <v>16</v>
      </c>
      <c r="I33" s="2">
        <v>14</v>
      </c>
      <c r="J33" s="2" t="s">
        <v>59</v>
      </c>
      <c r="K33" s="2">
        <v>12</v>
      </c>
      <c r="L33" s="2" t="s">
        <v>63</v>
      </c>
      <c r="M33" s="2" t="s">
        <v>131</v>
      </c>
      <c r="N33" s="2" t="s">
        <v>130</v>
      </c>
      <c r="O33" s="2" t="s">
        <v>131</v>
      </c>
      <c r="P33" s="2" t="s">
        <v>130</v>
      </c>
      <c r="Q33" s="2" t="s">
        <v>130</v>
      </c>
      <c r="R33" s="2" t="s">
        <v>130</v>
      </c>
      <c r="S33" s="2" t="s">
        <v>130</v>
      </c>
      <c r="T33" s="2" t="s">
        <v>131</v>
      </c>
      <c r="U33" s="2" t="s">
        <v>131</v>
      </c>
      <c r="V33" s="2" t="s">
        <v>131</v>
      </c>
      <c r="W33" s="2" t="s">
        <v>7</v>
      </c>
      <c r="X33" s="2">
        <v>75</v>
      </c>
      <c r="Y33" s="2">
        <v>30</v>
      </c>
      <c r="Z33" s="2">
        <v>0</v>
      </c>
      <c r="AA33" s="2" t="s">
        <v>33</v>
      </c>
      <c r="AB33" s="2" t="s">
        <v>13</v>
      </c>
      <c r="AC33" s="2" t="s">
        <v>9</v>
      </c>
      <c r="AD33" s="2" t="s">
        <v>10</v>
      </c>
      <c r="AE33" s="2" t="s">
        <v>5</v>
      </c>
      <c r="AF33" s="2" t="s">
        <v>11</v>
      </c>
      <c r="AG33" s="2">
        <v>7.54</v>
      </c>
      <c r="AH33" s="8" t="str">
        <f t="shared" si="0"/>
        <v>Yes</v>
      </c>
      <c r="AI33" s="2">
        <v>4.13</v>
      </c>
      <c r="AJ33" s="2">
        <v>11.2</v>
      </c>
      <c r="AK33" s="8" t="str">
        <f t="shared" si="1"/>
        <v>Yes</v>
      </c>
      <c r="AL33" s="2">
        <v>33.4</v>
      </c>
      <c r="AM33" s="2">
        <v>80.900000000000006</v>
      </c>
      <c r="AN33" s="2">
        <v>27.1</v>
      </c>
      <c r="AO33" s="2">
        <v>33.5</v>
      </c>
      <c r="AP33" s="2">
        <v>182</v>
      </c>
      <c r="AQ33" s="8" t="str">
        <f t="shared" si="2"/>
        <v>No</v>
      </c>
      <c r="AR33" s="10" t="str">
        <f t="shared" si="3"/>
        <v>No</v>
      </c>
      <c r="AS33" s="2">
        <v>7.14</v>
      </c>
      <c r="AT33" s="8" t="str">
        <f t="shared" si="4"/>
        <v>No</v>
      </c>
      <c r="AU33" s="10" t="str">
        <f t="shared" si="5"/>
        <v>No</v>
      </c>
      <c r="AV33" s="2">
        <v>6.2</v>
      </c>
      <c r="AW33" s="2">
        <v>86.8</v>
      </c>
      <c r="AX33" s="2">
        <v>0</v>
      </c>
      <c r="AY33" s="2">
        <v>0</v>
      </c>
      <c r="AZ33" s="2">
        <v>0.02</v>
      </c>
      <c r="BA33" s="2">
        <v>0.3</v>
      </c>
      <c r="BB33" s="10" t="str">
        <f t="shared" si="6"/>
        <v>No</v>
      </c>
      <c r="BC33" s="8" t="str">
        <f t="shared" si="7"/>
        <v>No</v>
      </c>
      <c r="BD33" s="2">
        <v>0.5</v>
      </c>
      <c r="BE33" s="2">
        <v>7</v>
      </c>
      <c r="BF33" s="10" t="str">
        <f t="shared" si="8"/>
        <v>Yes</v>
      </c>
      <c r="BG33" s="8" t="str">
        <f t="shared" si="9"/>
        <v>No</v>
      </c>
      <c r="BH33" s="2">
        <v>0.42</v>
      </c>
      <c r="BI33" s="2">
        <v>5.9</v>
      </c>
      <c r="BJ33" s="8" t="str">
        <f t="shared" si="10"/>
        <v>No</v>
      </c>
      <c r="BK33" s="10" t="str">
        <f t="shared" si="11"/>
        <v>No</v>
      </c>
      <c r="BL33" s="2">
        <f t="shared" si="12"/>
        <v>12.4</v>
      </c>
      <c r="BM33" s="2">
        <f t="shared" si="13"/>
        <v>0.84</v>
      </c>
      <c r="BN33" s="2">
        <f t="shared" si="14"/>
        <v>364</v>
      </c>
    </row>
    <row r="34" spans="1:66" x14ac:dyDescent="0.2">
      <c r="A34" s="2" t="s">
        <v>203</v>
      </c>
      <c r="B34" s="2">
        <v>70</v>
      </c>
      <c r="C34" s="2">
        <v>33.200000000000003</v>
      </c>
      <c r="D34" s="2" t="s">
        <v>45</v>
      </c>
      <c r="E34" s="2" t="s">
        <v>47</v>
      </c>
      <c r="F34" s="2" t="s">
        <v>55</v>
      </c>
      <c r="G34" s="2">
        <v>15</v>
      </c>
      <c r="H34" s="2">
        <v>17</v>
      </c>
      <c r="I34" s="2">
        <v>8</v>
      </c>
      <c r="J34" s="2" t="s">
        <v>59</v>
      </c>
      <c r="K34" s="2">
        <v>4</v>
      </c>
      <c r="L34" s="2" t="s">
        <v>63</v>
      </c>
      <c r="M34" s="2" t="s">
        <v>131</v>
      </c>
      <c r="N34" s="2" t="s">
        <v>130</v>
      </c>
      <c r="O34" s="2" t="s">
        <v>131</v>
      </c>
      <c r="P34" s="2" t="s">
        <v>131</v>
      </c>
      <c r="Q34" s="2" t="s">
        <v>130</v>
      </c>
      <c r="R34" s="2" t="s">
        <v>130</v>
      </c>
      <c r="S34" s="2" t="s">
        <v>130</v>
      </c>
      <c r="T34" s="2" t="s">
        <v>131</v>
      </c>
      <c r="U34" s="2" t="s">
        <v>130</v>
      </c>
      <c r="V34" s="2" t="s">
        <v>131</v>
      </c>
      <c r="W34" s="2" t="s">
        <v>7</v>
      </c>
      <c r="X34" s="2">
        <v>60</v>
      </c>
      <c r="Y34" s="2">
        <v>30</v>
      </c>
      <c r="Z34" s="2">
        <v>50</v>
      </c>
      <c r="AA34" s="2" t="s">
        <v>33</v>
      </c>
      <c r="AB34" s="2" t="s">
        <v>21</v>
      </c>
      <c r="AC34" s="2" t="s">
        <v>9</v>
      </c>
      <c r="AD34" s="2" t="s">
        <v>14</v>
      </c>
      <c r="AE34" s="2" t="s">
        <v>6</v>
      </c>
      <c r="AF34" s="2" t="s">
        <v>19</v>
      </c>
      <c r="AG34" s="2">
        <v>5.82</v>
      </c>
      <c r="AH34" s="8" t="str">
        <f t="shared" si="0"/>
        <v>No</v>
      </c>
      <c r="AI34" s="2">
        <v>4.6100000000000003</v>
      </c>
      <c r="AJ34" s="2">
        <v>13.3</v>
      </c>
      <c r="AK34" s="8" t="str">
        <f t="shared" si="1"/>
        <v>No</v>
      </c>
      <c r="AL34" s="2">
        <v>42.7</v>
      </c>
      <c r="AM34" s="2">
        <v>92.6</v>
      </c>
      <c r="AN34" s="2">
        <v>28.9</v>
      </c>
      <c r="AO34" s="2">
        <v>31.1</v>
      </c>
      <c r="AP34" s="2">
        <v>290</v>
      </c>
      <c r="AQ34" s="8" t="str">
        <f t="shared" si="2"/>
        <v>No</v>
      </c>
      <c r="AR34" s="10" t="str">
        <f t="shared" si="3"/>
        <v>No</v>
      </c>
      <c r="AS34" s="2">
        <v>5.33</v>
      </c>
      <c r="AT34" s="8" t="str">
        <f t="shared" si="4"/>
        <v>No</v>
      </c>
      <c r="AU34" s="10" t="str">
        <f t="shared" si="5"/>
        <v>No</v>
      </c>
      <c r="AV34" s="2">
        <v>2.57</v>
      </c>
      <c r="AW34" s="2">
        <v>48.2</v>
      </c>
      <c r="AX34" s="2">
        <v>0.17</v>
      </c>
      <c r="AY34" s="2">
        <v>3.2</v>
      </c>
      <c r="AZ34" s="2">
        <v>0.02</v>
      </c>
      <c r="BA34" s="2">
        <v>0.4</v>
      </c>
      <c r="BB34" s="10" t="str">
        <f t="shared" si="6"/>
        <v>No</v>
      </c>
      <c r="BC34" s="8" t="str">
        <f t="shared" si="7"/>
        <v>No</v>
      </c>
      <c r="BD34" s="2">
        <v>2.0699999999999998</v>
      </c>
      <c r="BE34" s="2">
        <v>38.799999999999997</v>
      </c>
      <c r="BF34" s="10" t="str">
        <f t="shared" si="8"/>
        <v>No</v>
      </c>
      <c r="BG34" s="8" t="str">
        <f t="shared" si="9"/>
        <v>No</v>
      </c>
      <c r="BH34" s="2">
        <v>0.5</v>
      </c>
      <c r="BI34" s="2">
        <v>9.4</v>
      </c>
      <c r="BJ34" s="8" t="str">
        <f t="shared" si="10"/>
        <v>No</v>
      </c>
      <c r="BK34" s="10" t="str">
        <f t="shared" si="11"/>
        <v>No</v>
      </c>
      <c r="BL34" s="2">
        <f t="shared" si="12"/>
        <v>1.2415458937198067</v>
      </c>
      <c r="BM34" s="2">
        <f t="shared" si="13"/>
        <v>0.24154589371980678</v>
      </c>
      <c r="BN34" s="2">
        <f t="shared" si="14"/>
        <v>140.09661835748793</v>
      </c>
    </row>
    <row r="35" spans="1:66" x14ac:dyDescent="0.2">
      <c r="A35" s="2" t="s">
        <v>204</v>
      </c>
      <c r="B35" s="2">
        <v>48</v>
      </c>
      <c r="C35" s="2">
        <v>23.89</v>
      </c>
      <c r="D35" s="2" t="s">
        <v>45</v>
      </c>
      <c r="E35" s="2" t="s">
        <v>48</v>
      </c>
      <c r="F35" s="2" t="s">
        <v>52</v>
      </c>
      <c r="G35" s="2">
        <v>16</v>
      </c>
      <c r="H35" s="2">
        <v>21</v>
      </c>
      <c r="I35" s="2">
        <v>0</v>
      </c>
      <c r="J35" s="2" t="s">
        <v>61</v>
      </c>
      <c r="K35" s="2">
        <v>0</v>
      </c>
      <c r="L35" s="2" t="s">
        <v>64</v>
      </c>
      <c r="M35" s="2" t="s">
        <v>130</v>
      </c>
      <c r="N35" s="2" t="s">
        <v>130</v>
      </c>
      <c r="O35" s="3" t="s">
        <v>130</v>
      </c>
      <c r="P35" s="2" t="s">
        <v>130</v>
      </c>
      <c r="Q35" s="2" t="s">
        <v>130</v>
      </c>
      <c r="R35" s="2" t="s">
        <v>130</v>
      </c>
      <c r="S35" s="2" t="s">
        <v>130</v>
      </c>
      <c r="T35" s="2" t="s">
        <v>131</v>
      </c>
      <c r="U35" s="2" t="s">
        <v>130</v>
      </c>
      <c r="V35" s="2" t="s">
        <v>130</v>
      </c>
      <c r="W35" s="2" t="s">
        <v>7</v>
      </c>
      <c r="X35" s="2">
        <v>90</v>
      </c>
      <c r="Y35" s="2">
        <v>90</v>
      </c>
      <c r="Z35" s="2">
        <v>80</v>
      </c>
      <c r="AA35" s="2" t="s">
        <v>33</v>
      </c>
      <c r="AB35" s="2" t="s">
        <v>8</v>
      </c>
      <c r="AC35" s="2" t="s">
        <v>9</v>
      </c>
      <c r="AD35" s="2" t="s">
        <v>14</v>
      </c>
      <c r="AE35" s="2" t="s">
        <v>6</v>
      </c>
      <c r="AF35" s="2" t="s">
        <v>19</v>
      </c>
      <c r="AG35" s="2">
        <v>3.01</v>
      </c>
      <c r="AH35" s="8" t="str">
        <f t="shared" si="0"/>
        <v>No</v>
      </c>
      <c r="AI35" s="2">
        <v>3.33</v>
      </c>
      <c r="AJ35" s="2">
        <v>6.1</v>
      </c>
      <c r="AK35" s="8" t="str">
        <f t="shared" si="1"/>
        <v>Yes</v>
      </c>
      <c r="AL35" s="2">
        <v>23.1</v>
      </c>
      <c r="AM35" s="2">
        <v>69.400000000000006</v>
      </c>
      <c r="AN35" s="2">
        <v>18.3</v>
      </c>
      <c r="AO35" s="2">
        <v>26.4</v>
      </c>
      <c r="AP35" s="2">
        <v>130</v>
      </c>
      <c r="AQ35" s="8" t="str">
        <f t="shared" si="2"/>
        <v>No</v>
      </c>
      <c r="AR35" s="10" t="str">
        <f t="shared" si="3"/>
        <v>Yes</v>
      </c>
      <c r="AS35" s="2">
        <v>4.99</v>
      </c>
      <c r="AT35" s="8" t="str">
        <f t="shared" si="4"/>
        <v>No</v>
      </c>
      <c r="AU35" s="10" t="str">
        <f t="shared" si="5"/>
        <v>No</v>
      </c>
      <c r="AV35" s="2">
        <v>2.9</v>
      </c>
      <c r="AW35" s="2">
        <v>58.1</v>
      </c>
      <c r="AX35" s="2">
        <v>0.12</v>
      </c>
      <c r="AY35" s="2">
        <v>2.4</v>
      </c>
      <c r="AZ35" s="2">
        <v>0.06</v>
      </c>
      <c r="BA35" s="2">
        <v>2.4</v>
      </c>
      <c r="BB35" s="10" t="str">
        <f t="shared" si="6"/>
        <v>No</v>
      </c>
      <c r="BC35" s="8" t="str">
        <f t="shared" si="7"/>
        <v>No</v>
      </c>
      <c r="BD35" s="2">
        <v>1.43</v>
      </c>
      <c r="BE35" s="2">
        <v>28.7</v>
      </c>
      <c r="BF35" s="10" t="str">
        <f t="shared" si="8"/>
        <v>No</v>
      </c>
      <c r="BG35" s="8" t="str">
        <f t="shared" si="9"/>
        <v>No</v>
      </c>
      <c r="BH35" s="2">
        <v>0.48</v>
      </c>
      <c r="BI35" s="2">
        <v>9.6</v>
      </c>
      <c r="BJ35" s="8" t="str">
        <f t="shared" si="10"/>
        <v>No</v>
      </c>
      <c r="BK35" s="10" t="str">
        <f t="shared" si="11"/>
        <v>No</v>
      </c>
      <c r="BL35" s="2">
        <f t="shared" si="12"/>
        <v>2.0279720279720279</v>
      </c>
      <c r="BM35" s="2">
        <f t="shared" si="13"/>
        <v>0.33566433566433568</v>
      </c>
      <c r="BN35" s="2">
        <f t="shared" si="14"/>
        <v>90.909090909090907</v>
      </c>
    </row>
    <row r="36" spans="1:66" x14ac:dyDescent="0.2">
      <c r="A36" s="2" t="s">
        <v>205</v>
      </c>
      <c r="B36" s="2">
        <v>37</v>
      </c>
      <c r="C36" s="2">
        <v>20.83</v>
      </c>
      <c r="D36" s="2" t="s">
        <v>45</v>
      </c>
      <c r="E36" s="2" t="s">
        <v>48</v>
      </c>
      <c r="F36" s="2" t="s">
        <v>55</v>
      </c>
      <c r="G36" s="2">
        <v>17</v>
      </c>
      <c r="H36" s="2">
        <v>21</v>
      </c>
      <c r="I36" s="2">
        <v>0</v>
      </c>
      <c r="J36" s="2" t="s">
        <v>61</v>
      </c>
      <c r="K36" s="2">
        <v>0</v>
      </c>
      <c r="L36" s="2" t="s">
        <v>64</v>
      </c>
      <c r="M36" s="2" t="s">
        <v>130</v>
      </c>
      <c r="N36" s="2" t="s">
        <v>130</v>
      </c>
      <c r="O36" s="3" t="s">
        <v>130</v>
      </c>
      <c r="P36" s="2" t="s">
        <v>130</v>
      </c>
      <c r="Q36" s="2" t="s">
        <v>130</v>
      </c>
      <c r="R36" s="2" t="s">
        <v>130</v>
      </c>
      <c r="S36" s="2" t="s">
        <v>130</v>
      </c>
      <c r="T36" s="2" t="s">
        <v>131</v>
      </c>
      <c r="U36" s="2" t="s">
        <v>130</v>
      </c>
      <c r="V36" s="2" t="s">
        <v>130</v>
      </c>
      <c r="W36" s="2" t="s">
        <v>7</v>
      </c>
      <c r="X36" s="2">
        <v>40</v>
      </c>
      <c r="Y36" s="2">
        <v>80</v>
      </c>
      <c r="Z36" s="2">
        <v>0</v>
      </c>
      <c r="AA36" s="2" t="s">
        <v>33</v>
      </c>
      <c r="AB36" s="2" t="s">
        <v>8</v>
      </c>
      <c r="AC36" s="2" t="s">
        <v>20</v>
      </c>
      <c r="AD36" s="2" t="s">
        <v>14</v>
      </c>
      <c r="AE36" s="2" t="s">
        <v>6</v>
      </c>
      <c r="AF36" s="2" t="s">
        <v>19</v>
      </c>
      <c r="AG36" s="2">
        <v>2.56</v>
      </c>
      <c r="AH36" s="8" t="str">
        <f t="shared" si="0"/>
        <v>No</v>
      </c>
      <c r="AI36" s="2">
        <v>4.3499999999999996</v>
      </c>
      <c r="AJ36" s="2">
        <v>13.8</v>
      </c>
      <c r="AK36" s="8" t="str">
        <f t="shared" si="1"/>
        <v>No</v>
      </c>
      <c r="AL36" s="2">
        <v>40.799999999999997</v>
      </c>
      <c r="AM36" s="2">
        <v>93.8</v>
      </c>
      <c r="AN36" s="2">
        <v>31.4</v>
      </c>
      <c r="AO36" s="2">
        <v>33.799999999999997</v>
      </c>
      <c r="AP36" s="2">
        <v>298</v>
      </c>
      <c r="AQ36" s="8" t="str">
        <f t="shared" si="2"/>
        <v>No</v>
      </c>
      <c r="AR36" s="10" t="str">
        <f t="shared" si="3"/>
        <v>No</v>
      </c>
      <c r="AS36" s="2">
        <v>5.27</v>
      </c>
      <c r="AT36" s="8" t="str">
        <f t="shared" si="4"/>
        <v>No</v>
      </c>
      <c r="AU36" s="10" t="str">
        <f t="shared" si="5"/>
        <v>No</v>
      </c>
      <c r="AV36" s="2">
        <v>3.35</v>
      </c>
      <c r="AW36" s="2">
        <v>63.6</v>
      </c>
      <c r="AX36" s="2">
        <v>7.0000000000000007E-2</v>
      </c>
      <c r="AY36" s="2">
        <v>1.3</v>
      </c>
      <c r="AZ36" s="2">
        <v>0.01</v>
      </c>
      <c r="BA36" s="2">
        <v>0.2</v>
      </c>
      <c r="BB36" s="10" t="str">
        <f t="shared" si="6"/>
        <v>No</v>
      </c>
      <c r="BC36" s="8" t="str">
        <f t="shared" si="7"/>
        <v>No</v>
      </c>
      <c r="BD36" s="2">
        <v>1.42</v>
      </c>
      <c r="BE36" s="2">
        <v>26.9</v>
      </c>
      <c r="BF36" s="10" t="str">
        <f t="shared" si="8"/>
        <v>No</v>
      </c>
      <c r="BG36" s="8" t="str">
        <f t="shared" si="9"/>
        <v>No</v>
      </c>
      <c r="BH36" s="2">
        <v>0.42</v>
      </c>
      <c r="BI36" s="2">
        <v>8</v>
      </c>
      <c r="BJ36" s="8" t="str">
        <f t="shared" si="10"/>
        <v>No</v>
      </c>
      <c r="BK36" s="10" t="str">
        <f t="shared" si="11"/>
        <v>No</v>
      </c>
      <c r="BL36" s="2">
        <f t="shared" si="12"/>
        <v>2.359154929577465</v>
      </c>
      <c r="BM36" s="2">
        <f t="shared" si="13"/>
        <v>0.29577464788732394</v>
      </c>
      <c r="BN36" s="2">
        <f t="shared" si="14"/>
        <v>209.85915492957747</v>
      </c>
    </row>
    <row r="37" spans="1:66" x14ac:dyDescent="0.2">
      <c r="A37" s="2" t="s">
        <v>206</v>
      </c>
      <c r="B37" s="2">
        <v>59</v>
      </c>
      <c r="C37" s="2">
        <v>24.22</v>
      </c>
      <c r="D37" s="2" t="s">
        <v>45</v>
      </c>
      <c r="E37" s="2" t="s">
        <v>47</v>
      </c>
      <c r="F37" s="2" t="s">
        <v>55</v>
      </c>
      <c r="G37" s="2">
        <v>13</v>
      </c>
      <c r="H37" s="2">
        <v>21</v>
      </c>
      <c r="I37" s="2">
        <v>3</v>
      </c>
      <c r="J37" s="2" t="s">
        <v>59</v>
      </c>
      <c r="K37" s="2">
        <v>2</v>
      </c>
      <c r="L37" s="2" t="s">
        <v>63</v>
      </c>
      <c r="M37" s="2" t="s">
        <v>131</v>
      </c>
      <c r="N37" s="2" t="s">
        <v>130</v>
      </c>
      <c r="O37" s="2" t="s">
        <v>131</v>
      </c>
      <c r="P37" s="2" t="s">
        <v>130</v>
      </c>
      <c r="Q37" s="2" t="s">
        <v>131</v>
      </c>
      <c r="R37" s="2" t="s">
        <v>130</v>
      </c>
      <c r="S37" s="2" t="s">
        <v>130</v>
      </c>
      <c r="T37" s="2" t="s">
        <v>131</v>
      </c>
      <c r="U37" s="2" t="s">
        <v>131</v>
      </c>
      <c r="V37" s="2" t="s">
        <v>130</v>
      </c>
      <c r="W37" s="2" t="s">
        <v>7</v>
      </c>
      <c r="X37" s="2">
        <v>60</v>
      </c>
      <c r="Y37" s="2">
        <v>40</v>
      </c>
      <c r="Z37" s="2">
        <v>20</v>
      </c>
      <c r="AA37" s="2" t="s">
        <v>33</v>
      </c>
      <c r="AB37" s="2" t="s">
        <v>13</v>
      </c>
      <c r="AC37" s="2" t="s">
        <v>9</v>
      </c>
      <c r="AD37" s="2" t="s">
        <v>14</v>
      </c>
      <c r="AE37" s="2" t="s">
        <v>6</v>
      </c>
      <c r="AF37" s="2" t="s">
        <v>15</v>
      </c>
      <c r="AG37" s="2">
        <v>6.61</v>
      </c>
      <c r="AH37" s="8" t="str">
        <f t="shared" si="0"/>
        <v>Yes</v>
      </c>
      <c r="AI37" s="2">
        <v>4.1100000000000003</v>
      </c>
      <c r="AJ37" s="2">
        <v>12.3</v>
      </c>
      <c r="AK37" s="8" t="str">
        <f t="shared" si="1"/>
        <v>No</v>
      </c>
      <c r="AL37" s="2">
        <v>38.6</v>
      </c>
      <c r="AM37" s="2">
        <v>93.9</v>
      </c>
      <c r="AN37" s="2">
        <v>29.9</v>
      </c>
      <c r="AO37" s="2">
        <v>31.9</v>
      </c>
      <c r="AP37" s="2">
        <v>312</v>
      </c>
      <c r="AQ37" s="8" t="str">
        <f t="shared" si="2"/>
        <v>No</v>
      </c>
      <c r="AR37" s="10" t="str">
        <f t="shared" si="3"/>
        <v>No</v>
      </c>
      <c r="AS37" s="2">
        <v>5.82</v>
      </c>
      <c r="AT37" s="8" t="str">
        <f t="shared" si="4"/>
        <v>No</v>
      </c>
      <c r="AU37" s="10" t="str">
        <f t="shared" si="5"/>
        <v>No</v>
      </c>
      <c r="AV37" s="2">
        <v>4.4000000000000004</v>
      </c>
      <c r="AW37" s="2">
        <v>75.599999999999994</v>
      </c>
      <c r="AX37" s="2">
        <v>0.05</v>
      </c>
      <c r="AY37" s="2">
        <v>0.9</v>
      </c>
      <c r="AZ37" s="2">
        <v>0.04</v>
      </c>
      <c r="BA37" s="2">
        <v>0.7</v>
      </c>
      <c r="BB37" s="10" t="str">
        <f t="shared" si="6"/>
        <v>No</v>
      </c>
      <c r="BC37" s="8" t="str">
        <f t="shared" si="7"/>
        <v>No</v>
      </c>
      <c r="BD37" s="2">
        <v>0.74</v>
      </c>
      <c r="BE37" s="2">
        <v>12.7</v>
      </c>
      <c r="BF37" s="10" t="str">
        <f t="shared" si="8"/>
        <v>Yes</v>
      </c>
      <c r="BG37" s="8" t="str">
        <f t="shared" si="9"/>
        <v>No</v>
      </c>
      <c r="BH37" s="2">
        <v>0.59</v>
      </c>
      <c r="BI37" s="2">
        <v>10.1</v>
      </c>
      <c r="BJ37" s="8" t="str">
        <f t="shared" si="10"/>
        <v>No</v>
      </c>
      <c r="BK37" s="10" t="str">
        <f t="shared" si="11"/>
        <v>No</v>
      </c>
      <c r="BL37" s="2">
        <f t="shared" si="12"/>
        <v>5.9459459459459465</v>
      </c>
      <c r="BM37" s="2">
        <f t="shared" si="13"/>
        <v>0.79729729729729726</v>
      </c>
      <c r="BN37" s="2">
        <f t="shared" si="14"/>
        <v>421.62162162162161</v>
      </c>
    </row>
    <row r="38" spans="1:66" x14ac:dyDescent="0.2">
      <c r="A38" s="2" t="s">
        <v>207</v>
      </c>
      <c r="B38" s="2">
        <v>75</v>
      </c>
      <c r="C38" s="2">
        <v>23.67</v>
      </c>
      <c r="D38" s="2" t="s">
        <v>75</v>
      </c>
      <c r="E38" s="2" t="s">
        <v>76</v>
      </c>
      <c r="F38" s="2" t="s">
        <v>81</v>
      </c>
      <c r="G38" s="2">
        <v>13</v>
      </c>
      <c r="H38" s="2">
        <v>21</v>
      </c>
      <c r="I38" s="2">
        <v>5</v>
      </c>
      <c r="J38" s="2" t="s">
        <v>59</v>
      </c>
      <c r="K38" s="2">
        <v>3</v>
      </c>
      <c r="L38" s="2" t="s">
        <v>63</v>
      </c>
      <c r="M38" s="2" t="s">
        <v>131</v>
      </c>
      <c r="N38" s="2" t="s">
        <v>130</v>
      </c>
      <c r="O38" s="2" t="s">
        <v>131</v>
      </c>
      <c r="P38" s="2" t="s">
        <v>130</v>
      </c>
      <c r="Q38" s="2" t="s">
        <v>130</v>
      </c>
      <c r="R38" s="2" t="s">
        <v>130</v>
      </c>
      <c r="S38" s="2" t="s">
        <v>130</v>
      </c>
      <c r="T38" s="2" t="s">
        <v>131</v>
      </c>
      <c r="U38" s="2" t="s">
        <v>130</v>
      </c>
      <c r="V38" s="2" t="s">
        <v>130</v>
      </c>
      <c r="W38" s="2" t="s">
        <v>7</v>
      </c>
      <c r="X38" s="2">
        <v>60</v>
      </c>
      <c r="Y38" s="2">
        <v>80</v>
      </c>
      <c r="Z38" s="2">
        <v>30</v>
      </c>
      <c r="AA38" s="2" t="s">
        <v>33</v>
      </c>
      <c r="AB38" s="2" t="s">
        <v>13</v>
      </c>
      <c r="AC38" s="2" t="s">
        <v>9</v>
      </c>
      <c r="AD38" s="2" t="s">
        <v>14</v>
      </c>
      <c r="AE38" s="2" t="s">
        <v>6</v>
      </c>
      <c r="AF38" s="2" t="s">
        <v>15</v>
      </c>
      <c r="AG38" s="2">
        <v>0.52100000000000002</v>
      </c>
      <c r="AH38" s="8" t="str">
        <f t="shared" si="0"/>
        <v>No</v>
      </c>
      <c r="AI38" s="2">
        <v>4.6399999999999997</v>
      </c>
      <c r="AJ38" s="2">
        <v>12.7</v>
      </c>
      <c r="AK38" s="8" t="str">
        <f t="shared" si="1"/>
        <v>No</v>
      </c>
      <c r="AL38" s="2">
        <v>39.700000000000003</v>
      </c>
      <c r="AM38" s="2">
        <v>85.6</v>
      </c>
      <c r="AN38" s="2">
        <v>27.4</v>
      </c>
      <c r="AO38" s="2">
        <v>32</v>
      </c>
      <c r="AP38" s="2">
        <v>258</v>
      </c>
      <c r="AQ38" s="8" t="str">
        <f t="shared" si="2"/>
        <v>No</v>
      </c>
      <c r="AR38" s="10" t="str">
        <f t="shared" si="3"/>
        <v>No</v>
      </c>
      <c r="AS38" s="2">
        <v>5.33</v>
      </c>
      <c r="AT38" s="8" t="str">
        <f t="shared" si="4"/>
        <v>No</v>
      </c>
      <c r="AU38" s="10" t="str">
        <f t="shared" si="5"/>
        <v>No</v>
      </c>
      <c r="AV38" s="2">
        <v>5.0599999999999996</v>
      </c>
      <c r="AW38" s="2">
        <v>81</v>
      </c>
      <c r="AX38" s="2">
        <v>7.0000000000000007E-2</v>
      </c>
      <c r="AY38" s="2">
        <v>1</v>
      </c>
      <c r="AZ38" s="2">
        <v>0.03</v>
      </c>
      <c r="BA38" s="2">
        <v>0.4</v>
      </c>
      <c r="BB38" s="10" t="str">
        <f t="shared" si="6"/>
        <v>No</v>
      </c>
      <c r="BC38" s="8" t="str">
        <f t="shared" si="7"/>
        <v>No</v>
      </c>
      <c r="BD38" s="2">
        <v>1.51</v>
      </c>
      <c r="BE38" s="2">
        <v>21.6</v>
      </c>
      <c r="BF38" s="10" t="str">
        <f t="shared" si="8"/>
        <v>No</v>
      </c>
      <c r="BG38" s="8" t="str">
        <f t="shared" si="9"/>
        <v>No</v>
      </c>
      <c r="BH38" s="2">
        <v>0.33</v>
      </c>
      <c r="BI38" s="2">
        <v>4.7</v>
      </c>
      <c r="BJ38" s="8" t="str">
        <f t="shared" si="10"/>
        <v>No</v>
      </c>
      <c r="BK38" s="10" t="str">
        <f t="shared" si="11"/>
        <v>No</v>
      </c>
      <c r="BL38" s="2">
        <f t="shared" si="12"/>
        <v>3.3509933774834435</v>
      </c>
      <c r="BM38" s="2">
        <f t="shared" si="13"/>
        <v>0.2185430463576159</v>
      </c>
      <c r="BN38" s="2">
        <f t="shared" si="14"/>
        <v>170.86092715231788</v>
      </c>
    </row>
    <row r="39" spans="1:66" x14ac:dyDescent="0.2">
      <c r="A39" s="2" t="s">
        <v>208</v>
      </c>
      <c r="B39" s="2">
        <v>51</v>
      </c>
      <c r="C39" s="2">
        <v>23.45</v>
      </c>
      <c r="D39" s="2" t="s">
        <v>45</v>
      </c>
      <c r="E39" s="2" t="s">
        <v>46</v>
      </c>
      <c r="F39" s="2" t="s">
        <v>54</v>
      </c>
      <c r="G39" s="2">
        <v>18</v>
      </c>
      <c r="H39" s="2">
        <v>36</v>
      </c>
      <c r="I39" s="2">
        <v>6</v>
      </c>
      <c r="J39" s="2" t="s">
        <v>59</v>
      </c>
      <c r="K39" s="2">
        <v>3</v>
      </c>
      <c r="L39" s="2" t="s">
        <v>63</v>
      </c>
      <c r="M39" s="2" t="s">
        <v>131</v>
      </c>
      <c r="N39" s="2" t="s">
        <v>130</v>
      </c>
      <c r="O39" s="2" t="s">
        <v>131</v>
      </c>
      <c r="P39" s="2" t="s">
        <v>130</v>
      </c>
      <c r="Q39" s="2" t="s">
        <v>130</v>
      </c>
      <c r="R39" s="2" t="s">
        <v>130</v>
      </c>
      <c r="S39" s="2" t="s">
        <v>130</v>
      </c>
      <c r="T39" s="2" t="s">
        <v>131</v>
      </c>
      <c r="U39" s="2" t="s">
        <v>130</v>
      </c>
      <c r="V39" s="2" t="s">
        <v>130</v>
      </c>
      <c r="W39" s="2" t="s">
        <v>7</v>
      </c>
      <c r="X39" s="2">
        <v>90</v>
      </c>
      <c r="Y39" s="2">
        <v>95</v>
      </c>
      <c r="Z39" s="2">
        <v>20</v>
      </c>
      <c r="AA39" s="2" t="s">
        <v>33</v>
      </c>
      <c r="AB39" s="2" t="s">
        <v>8</v>
      </c>
      <c r="AC39" s="2" t="s">
        <v>20</v>
      </c>
      <c r="AD39" s="2" t="s">
        <v>14</v>
      </c>
      <c r="AE39" s="2" t="s">
        <v>6</v>
      </c>
      <c r="AF39" s="2" t="s">
        <v>19</v>
      </c>
      <c r="AG39" s="2">
        <v>28.9</v>
      </c>
      <c r="AH39" s="8" t="str">
        <f t="shared" si="0"/>
        <v>Yes</v>
      </c>
      <c r="AI39" s="2">
        <v>4.8600000000000003</v>
      </c>
      <c r="AJ39" s="2">
        <v>13.7</v>
      </c>
      <c r="AK39" s="8" t="str">
        <f t="shared" si="1"/>
        <v>No</v>
      </c>
      <c r="AL39" s="2">
        <v>41.6</v>
      </c>
      <c r="AM39" s="2">
        <v>85.6</v>
      </c>
      <c r="AN39" s="2">
        <v>28.2</v>
      </c>
      <c r="AO39" s="2">
        <v>32.9</v>
      </c>
      <c r="AP39" s="2">
        <v>444</v>
      </c>
      <c r="AQ39" s="8" t="str">
        <f t="shared" si="2"/>
        <v>Yes</v>
      </c>
      <c r="AR39" s="10" t="str">
        <f t="shared" si="3"/>
        <v>No</v>
      </c>
      <c r="AS39" s="2">
        <v>6.78</v>
      </c>
      <c r="AT39" s="8" t="str">
        <f t="shared" si="4"/>
        <v>No</v>
      </c>
      <c r="AU39" s="10" t="str">
        <f t="shared" si="5"/>
        <v>No</v>
      </c>
      <c r="AV39" s="2">
        <v>4.2</v>
      </c>
      <c r="AW39" s="2">
        <v>62</v>
      </c>
      <c r="AX39" s="2">
        <v>0.11</v>
      </c>
      <c r="AY39" s="2">
        <v>1.6</v>
      </c>
      <c r="AZ39" s="2">
        <v>0.03</v>
      </c>
      <c r="BA39" s="2">
        <v>0.4</v>
      </c>
      <c r="BB39" s="10" t="str">
        <f t="shared" si="6"/>
        <v>No</v>
      </c>
      <c r="BC39" s="8" t="str">
        <f t="shared" si="7"/>
        <v>No</v>
      </c>
      <c r="BD39" s="2">
        <v>1.9</v>
      </c>
      <c r="BE39" s="2">
        <v>28</v>
      </c>
      <c r="BF39" s="10" t="str">
        <f t="shared" si="8"/>
        <v>No</v>
      </c>
      <c r="BG39" s="8" t="str">
        <f t="shared" si="9"/>
        <v>No</v>
      </c>
      <c r="BH39" s="2">
        <v>0.54</v>
      </c>
      <c r="BI39" s="2">
        <v>8</v>
      </c>
      <c r="BJ39" s="8" t="str">
        <f t="shared" si="10"/>
        <v>No</v>
      </c>
      <c r="BK39" s="10" t="str">
        <f t="shared" si="11"/>
        <v>No</v>
      </c>
      <c r="BL39" s="2">
        <f t="shared" si="12"/>
        <v>2.2105263157894739</v>
      </c>
      <c r="BM39" s="2">
        <f t="shared" si="13"/>
        <v>0.28421052631578952</v>
      </c>
      <c r="BN39" s="2">
        <f t="shared" si="14"/>
        <v>233.68421052631581</v>
      </c>
    </row>
    <row r="40" spans="1:66" x14ac:dyDescent="0.2">
      <c r="A40" s="2" t="s">
        <v>209</v>
      </c>
      <c r="B40" s="2">
        <v>42</v>
      </c>
      <c r="C40" s="2">
        <v>17.989999999999998</v>
      </c>
      <c r="D40" s="2" t="s">
        <v>45</v>
      </c>
      <c r="E40" s="2" t="s">
        <v>76</v>
      </c>
      <c r="F40" s="2" t="s">
        <v>52</v>
      </c>
      <c r="G40" s="2">
        <v>16</v>
      </c>
      <c r="H40" s="2">
        <v>23</v>
      </c>
      <c r="I40" s="2">
        <v>1</v>
      </c>
      <c r="J40" s="2" t="s">
        <v>60</v>
      </c>
      <c r="K40" s="2">
        <v>1</v>
      </c>
      <c r="L40" s="2" t="s">
        <v>83</v>
      </c>
      <c r="M40" s="2" t="s">
        <v>130</v>
      </c>
      <c r="N40" s="2" t="s">
        <v>130</v>
      </c>
      <c r="O40" s="3" t="s">
        <v>130</v>
      </c>
      <c r="P40" s="2" t="s">
        <v>130</v>
      </c>
      <c r="Q40" s="2" t="s">
        <v>130</v>
      </c>
      <c r="R40" s="2" t="s">
        <v>130</v>
      </c>
      <c r="S40" s="2" t="s">
        <v>130</v>
      </c>
      <c r="T40" s="2" t="s">
        <v>131</v>
      </c>
      <c r="U40" s="2" t="s">
        <v>130</v>
      </c>
      <c r="V40" s="2" t="s">
        <v>130</v>
      </c>
      <c r="W40" s="2" t="s">
        <v>7</v>
      </c>
      <c r="X40" s="2">
        <v>60</v>
      </c>
      <c r="Y40" s="2">
        <v>100</v>
      </c>
      <c r="Z40" s="2">
        <v>50</v>
      </c>
      <c r="AA40" s="2" t="s">
        <v>33</v>
      </c>
      <c r="AB40" s="2" t="s">
        <v>8</v>
      </c>
      <c r="AC40" s="2" t="s">
        <v>20</v>
      </c>
      <c r="AD40" s="2" t="s">
        <v>10</v>
      </c>
      <c r="AE40" s="2" t="s">
        <v>5</v>
      </c>
      <c r="AF40" s="2" t="s">
        <v>11</v>
      </c>
      <c r="AG40" s="2">
        <v>0.97899999999999998</v>
      </c>
      <c r="AH40" s="8" t="str">
        <f t="shared" si="0"/>
        <v>No</v>
      </c>
      <c r="AI40" s="2">
        <v>4.24</v>
      </c>
      <c r="AJ40" s="2">
        <v>12.2</v>
      </c>
      <c r="AK40" s="8" t="str">
        <f t="shared" si="1"/>
        <v>No</v>
      </c>
      <c r="AL40" s="2">
        <v>36.9</v>
      </c>
      <c r="AM40" s="2">
        <v>87</v>
      </c>
      <c r="AN40" s="2">
        <v>28.8</v>
      </c>
      <c r="AO40" s="2">
        <v>33.1</v>
      </c>
      <c r="AP40" s="2">
        <v>313</v>
      </c>
      <c r="AQ40" s="8" t="str">
        <f t="shared" si="2"/>
        <v>No</v>
      </c>
      <c r="AR40" s="10" t="str">
        <f t="shared" si="3"/>
        <v>No</v>
      </c>
      <c r="AS40" s="2">
        <v>2.44</v>
      </c>
      <c r="AT40" s="8" t="str">
        <f t="shared" si="4"/>
        <v>No</v>
      </c>
      <c r="AU40" s="10" t="str">
        <f t="shared" si="5"/>
        <v>Yes</v>
      </c>
      <c r="AV40" s="2">
        <v>1.27</v>
      </c>
      <c r="AW40" s="2">
        <v>52</v>
      </c>
      <c r="AX40" s="2">
        <v>0.1</v>
      </c>
      <c r="AY40" s="2">
        <v>4.0999999999999996</v>
      </c>
      <c r="AZ40" s="2">
        <v>0.01</v>
      </c>
      <c r="BA40" s="2">
        <v>0.4</v>
      </c>
      <c r="BB40" s="10" t="str">
        <f t="shared" si="6"/>
        <v>Yes</v>
      </c>
      <c r="BC40" s="8" t="str">
        <f t="shared" si="7"/>
        <v>No</v>
      </c>
      <c r="BD40" s="2">
        <v>0.9</v>
      </c>
      <c r="BE40" s="2">
        <v>36.9</v>
      </c>
      <c r="BF40" s="10" t="str">
        <f t="shared" si="8"/>
        <v>Yes</v>
      </c>
      <c r="BG40" s="8" t="str">
        <f t="shared" si="9"/>
        <v>No</v>
      </c>
      <c r="BH40" s="2">
        <v>0.16</v>
      </c>
      <c r="BI40" s="2">
        <v>6.6</v>
      </c>
      <c r="BJ40" s="8" t="str">
        <f t="shared" si="10"/>
        <v>No</v>
      </c>
      <c r="BK40" s="10" t="str">
        <f t="shared" si="11"/>
        <v>Yes</v>
      </c>
      <c r="BL40" s="2">
        <f t="shared" si="12"/>
        <v>1.4111111111111112</v>
      </c>
      <c r="BM40" s="2">
        <f t="shared" si="13"/>
        <v>0.17777777777777778</v>
      </c>
      <c r="BN40" s="2">
        <f t="shared" si="14"/>
        <v>347.77777777777777</v>
      </c>
    </row>
    <row r="41" spans="1:66" x14ac:dyDescent="0.2">
      <c r="A41" s="2" t="s">
        <v>210</v>
      </c>
      <c r="B41" s="2">
        <v>41</v>
      </c>
      <c r="C41" s="2">
        <v>19.920000000000002</v>
      </c>
      <c r="D41" s="2" t="s">
        <v>45</v>
      </c>
      <c r="E41" s="2" t="s">
        <v>47</v>
      </c>
      <c r="F41" s="2" t="s">
        <v>55</v>
      </c>
      <c r="G41" s="2">
        <v>14</v>
      </c>
      <c r="H41" s="2">
        <v>39</v>
      </c>
      <c r="I41" s="2">
        <v>1</v>
      </c>
      <c r="J41" s="2" t="s">
        <v>60</v>
      </c>
      <c r="K41" s="2">
        <v>1</v>
      </c>
      <c r="L41" s="2" t="s">
        <v>83</v>
      </c>
      <c r="M41" s="2" t="s">
        <v>131</v>
      </c>
      <c r="N41" s="2" t="s">
        <v>130</v>
      </c>
      <c r="O41" s="3" t="s">
        <v>130</v>
      </c>
      <c r="P41" s="2" t="s">
        <v>130</v>
      </c>
      <c r="Q41" s="2" t="s">
        <v>131</v>
      </c>
      <c r="R41" s="2" t="s">
        <v>130</v>
      </c>
      <c r="S41" s="2" t="s">
        <v>130</v>
      </c>
      <c r="T41" s="2" t="s">
        <v>131</v>
      </c>
      <c r="U41" s="2" t="s">
        <v>130</v>
      </c>
      <c r="V41" s="2" t="s">
        <v>130</v>
      </c>
      <c r="W41" s="2" t="s">
        <v>7</v>
      </c>
      <c r="X41" s="2">
        <v>10</v>
      </c>
      <c r="Y41" s="2">
        <v>90</v>
      </c>
      <c r="Z41" s="2">
        <v>0</v>
      </c>
      <c r="AA41" s="2" t="s">
        <v>32</v>
      </c>
      <c r="AB41" s="2" t="s">
        <v>8</v>
      </c>
      <c r="AC41" s="2" t="s">
        <v>20</v>
      </c>
      <c r="AD41" s="2" t="s">
        <v>14</v>
      </c>
      <c r="AE41" s="2" t="s">
        <v>6</v>
      </c>
      <c r="AF41" s="2" t="s">
        <v>19</v>
      </c>
      <c r="AG41" s="2">
        <v>0.997</v>
      </c>
      <c r="AH41" s="8" t="str">
        <f t="shared" si="0"/>
        <v>No</v>
      </c>
      <c r="AI41" s="2">
        <v>5.0199999999999996</v>
      </c>
      <c r="AJ41" s="2">
        <v>14</v>
      </c>
      <c r="AK41" s="8" t="str">
        <f t="shared" si="1"/>
        <v>No</v>
      </c>
      <c r="AL41" s="2">
        <v>41.5</v>
      </c>
      <c r="AM41" s="2">
        <v>82.7</v>
      </c>
      <c r="AN41" s="2">
        <v>27.9</v>
      </c>
      <c r="AO41" s="2">
        <v>33.700000000000003</v>
      </c>
      <c r="AP41" s="2">
        <v>197</v>
      </c>
      <c r="AQ41" s="8" t="str">
        <f t="shared" si="2"/>
        <v>No</v>
      </c>
      <c r="AR41" s="10" t="str">
        <f t="shared" si="3"/>
        <v>No</v>
      </c>
      <c r="AS41" s="2">
        <v>4.59</v>
      </c>
      <c r="AT41" s="8" t="str">
        <f t="shared" si="4"/>
        <v>No</v>
      </c>
      <c r="AU41" s="10" t="str">
        <f t="shared" si="5"/>
        <v>No</v>
      </c>
      <c r="AV41" s="2">
        <v>2.34</v>
      </c>
      <c r="AW41" s="2">
        <v>50.9</v>
      </c>
      <c r="AX41" s="2">
        <v>0.03</v>
      </c>
      <c r="AY41" s="2">
        <v>0.7</v>
      </c>
      <c r="AZ41" s="2">
        <v>0.05</v>
      </c>
      <c r="BA41" s="2">
        <v>1.1000000000000001</v>
      </c>
      <c r="BB41" s="10" t="str">
        <f t="shared" si="6"/>
        <v>No</v>
      </c>
      <c r="BC41" s="8" t="str">
        <f t="shared" si="7"/>
        <v>No</v>
      </c>
      <c r="BD41" s="2">
        <v>1.78</v>
      </c>
      <c r="BE41" s="2">
        <v>38.799999999999997</v>
      </c>
      <c r="BF41" s="10" t="str">
        <f t="shared" si="8"/>
        <v>No</v>
      </c>
      <c r="BG41" s="8" t="str">
        <f t="shared" si="9"/>
        <v>No</v>
      </c>
      <c r="BH41" s="2">
        <v>0.39</v>
      </c>
      <c r="BI41" s="2">
        <v>8.5</v>
      </c>
      <c r="BJ41" s="8" t="str">
        <f t="shared" si="10"/>
        <v>No</v>
      </c>
      <c r="BK41" s="10" t="str">
        <f t="shared" si="11"/>
        <v>No</v>
      </c>
      <c r="BL41" s="2">
        <f t="shared" si="12"/>
        <v>1.3146067415730336</v>
      </c>
      <c r="BM41" s="2">
        <f t="shared" si="13"/>
        <v>0.21910112359550563</v>
      </c>
      <c r="BN41" s="2">
        <f t="shared" si="14"/>
        <v>110.67415730337079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44DB-8C79-FD4C-A123-7A21872FB433}">
  <dimension ref="A1:BD41"/>
  <sheetViews>
    <sheetView tabSelected="1" topLeftCell="A15" zoomScale="106" workbookViewId="0">
      <selection activeCell="A10" sqref="A10"/>
    </sheetView>
  </sheetViews>
  <sheetFormatPr baseColWidth="10" defaultRowHeight="18" x14ac:dyDescent="0.2"/>
  <cols>
    <col min="1" max="1" width="23" style="2" customWidth="1"/>
    <col min="2" max="3" width="10.83203125" style="2"/>
    <col min="4" max="4" width="16.5" style="2" customWidth="1"/>
    <col min="5" max="5" width="27.33203125" style="2" customWidth="1"/>
    <col min="6" max="8" width="10.83203125" style="2"/>
    <col min="9" max="9" width="19.5" style="2" customWidth="1"/>
    <col min="10" max="10" width="20.1640625" style="2" customWidth="1"/>
    <col min="11" max="11" width="21.1640625" style="2" customWidth="1"/>
    <col min="12" max="12" width="25.33203125" style="2" customWidth="1"/>
    <col min="13" max="13" width="23.1640625" style="2" customWidth="1"/>
    <col min="14" max="14" width="37" style="2" customWidth="1"/>
    <col min="15" max="15" width="19.6640625" style="2" customWidth="1"/>
    <col min="16" max="16" width="28.1640625" style="2" customWidth="1"/>
    <col min="17" max="17" width="16.83203125" style="2" customWidth="1"/>
    <col min="18" max="18" width="26.1640625" style="2" customWidth="1"/>
    <col min="19" max="19" width="10.83203125" style="2"/>
    <col min="20" max="20" width="19.83203125" style="2" bestFit="1" customWidth="1"/>
    <col min="21" max="23" width="10.83203125" style="2"/>
    <col min="24" max="24" width="11.6640625" style="8" customWidth="1"/>
    <col min="25" max="26" width="10.83203125" style="2"/>
    <col min="27" max="27" width="10.83203125" style="8"/>
    <col min="28" max="31" width="10.83203125" style="2"/>
    <col min="32" max="32" width="15.5" style="10" bestFit="1" customWidth="1"/>
    <col min="33" max="33" width="16.6640625" style="8" bestFit="1" customWidth="1"/>
    <col min="34" max="36" width="10.83203125" style="2"/>
    <col min="37" max="37" width="12.83203125" style="10" bestFit="1" customWidth="1"/>
    <col min="38" max="38" width="18.6640625" style="8" bestFit="1" customWidth="1"/>
    <col min="39" max="39" width="10.83203125" style="2"/>
    <col min="40" max="40" width="13.1640625" style="8" bestFit="1" customWidth="1"/>
    <col min="41" max="41" width="13.1640625" style="10" bestFit="1" customWidth="1"/>
    <col min="42" max="45" width="10.83203125" style="2"/>
    <col min="46" max="46" width="14.33203125" style="2" customWidth="1"/>
    <col min="47" max="47" width="17.5" style="2" customWidth="1"/>
    <col min="48" max="48" width="16.6640625" style="10" customWidth="1"/>
    <col min="49" max="49" width="16.1640625" style="2" bestFit="1" customWidth="1"/>
    <col min="50" max="50" width="15.1640625" style="2" customWidth="1"/>
    <col min="51" max="51" width="19.33203125" style="2" customWidth="1"/>
    <col min="52" max="52" width="17" style="10" bestFit="1" customWidth="1"/>
    <col min="53" max="53" width="15.1640625" style="8" customWidth="1"/>
    <col min="54" max="16384" width="10.83203125" style="2"/>
  </cols>
  <sheetData>
    <row r="1" spans="1:56" s="1" customFormat="1" x14ac:dyDescent="0.2">
      <c r="A1" s="1" t="s">
        <v>0</v>
      </c>
      <c r="B1" s="1" t="s">
        <v>1</v>
      </c>
      <c r="C1" s="1" t="s">
        <v>74</v>
      </c>
      <c r="D1" s="1" t="s">
        <v>77</v>
      </c>
      <c r="E1" s="1" t="s">
        <v>78</v>
      </c>
      <c r="F1" s="1" t="s">
        <v>82</v>
      </c>
      <c r="G1" s="1" t="s">
        <v>56</v>
      </c>
      <c r="H1" s="1" t="s">
        <v>57</v>
      </c>
      <c r="I1" s="1" t="s">
        <v>88</v>
      </c>
      <c r="J1" s="1" t="s">
        <v>84</v>
      </c>
      <c r="K1" s="1" t="s">
        <v>66</v>
      </c>
      <c r="L1" s="1" t="s">
        <v>44</v>
      </c>
      <c r="M1" s="1" t="s">
        <v>51</v>
      </c>
      <c r="N1" s="1" t="s">
        <v>50</v>
      </c>
      <c r="O1" s="1" t="s">
        <v>67</v>
      </c>
      <c r="P1" s="1" t="s">
        <v>68</v>
      </c>
      <c r="Q1" s="1" t="s">
        <v>85</v>
      </c>
      <c r="R1" s="1" t="s">
        <v>86</v>
      </c>
      <c r="S1" s="1" t="s">
        <v>71</v>
      </c>
      <c r="T1" s="1" t="s">
        <v>87</v>
      </c>
      <c r="U1" s="1" t="s">
        <v>72</v>
      </c>
      <c r="V1" s="1" t="s">
        <v>2</v>
      </c>
      <c r="W1" s="1" t="s">
        <v>37</v>
      </c>
      <c r="X1" s="7" t="s">
        <v>90</v>
      </c>
      <c r="Y1" s="1" t="s">
        <v>94</v>
      </c>
      <c r="Z1" s="1" t="s">
        <v>38</v>
      </c>
      <c r="AA1" s="11" t="s">
        <v>106</v>
      </c>
      <c r="AB1" s="1" t="s">
        <v>39</v>
      </c>
      <c r="AC1" s="1" t="s">
        <v>95</v>
      </c>
      <c r="AD1" s="1" t="s">
        <v>96</v>
      </c>
      <c r="AE1" s="1" t="s">
        <v>97</v>
      </c>
      <c r="AF1" s="17" t="s">
        <v>108</v>
      </c>
      <c r="AG1" s="20" t="s">
        <v>107</v>
      </c>
      <c r="AH1" s="1" t="s">
        <v>98</v>
      </c>
      <c r="AI1" s="1" t="s">
        <v>99</v>
      </c>
      <c r="AJ1" s="1" t="s">
        <v>100</v>
      </c>
      <c r="AK1" s="12" t="s">
        <v>112</v>
      </c>
      <c r="AL1" s="20" t="s">
        <v>111</v>
      </c>
      <c r="AM1" s="1" t="s">
        <v>101</v>
      </c>
      <c r="AN1" s="20" t="s">
        <v>109</v>
      </c>
      <c r="AO1" s="17" t="s">
        <v>110</v>
      </c>
      <c r="AP1" s="1" t="s">
        <v>102</v>
      </c>
      <c r="AQ1" s="1" t="s">
        <v>103</v>
      </c>
      <c r="AR1" s="1" t="s">
        <v>104</v>
      </c>
      <c r="AS1" s="1" t="s">
        <v>105</v>
      </c>
      <c r="AT1" s="1" t="s">
        <v>40</v>
      </c>
      <c r="AU1" s="1" t="s">
        <v>41</v>
      </c>
      <c r="AV1" s="17" t="s">
        <v>113</v>
      </c>
      <c r="AW1" s="21" t="s">
        <v>114</v>
      </c>
      <c r="AX1" s="1" t="s">
        <v>42</v>
      </c>
      <c r="AY1" s="1" t="s">
        <v>43</v>
      </c>
      <c r="AZ1" s="17" t="s">
        <v>116</v>
      </c>
      <c r="BA1" s="20" t="s">
        <v>115</v>
      </c>
      <c r="BB1" s="1" t="s">
        <v>73</v>
      </c>
      <c r="BC1" s="1" t="s">
        <v>92</v>
      </c>
      <c r="BD1" s="1" t="s">
        <v>93</v>
      </c>
    </row>
    <row r="2" spans="1:56" x14ac:dyDescent="0.2">
      <c r="A2" s="2" t="s">
        <v>243</v>
      </c>
      <c r="B2" s="2">
        <v>28</v>
      </c>
      <c r="C2" s="2">
        <v>24.38</v>
      </c>
      <c r="D2" s="2">
        <v>12</v>
      </c>
      <c r="E2" s="2">
        <v>20</v>
      </c>
      <c r="F2" s="2">
        <v>0</v>
      </c>
      <c r="G2" s="2" t="s">
        <v>64</v>
      </c>
      <c r="H2" s="2">
        <v>0</v>
      </c>
      <c r="I2" s="2" t="s">
        <v>61</v>
      </c>
      <c r="J2" s="2" t="s">
        <v>130</v>
      </c>
      <c r="K2" s="2" t="s">
        <v>130</v>
      </c>
      <c r="L2" s="4" t="s">
        <v>75</v>
      </c>
      <c r="M2" s="4" t="s">
        <v>49</v>
      </c>
      <c r="N2" s="4" t="s">
        <v>80</v>
      </c>
      <c r="O2" s="2" t="s">
        <v>130</v>
      </c>
      <c r="P2" s="2" t="s">
        <v>130</v>
      </c>
      <c r="Q2" s="2" t="s">
        <v>130</v>
      </c>
      <c r="R2" s="2" t="s">
        <v>130</v>
      </c>
      <c r="S2" s="2" t="s">
        <v>130</v>
      </c>
      <c r="T2" s="2" t="s">
        <v>130</v>
      </c>
      <c r="U2" s="2" t="s">
        <v>130</v>
      </c>
      <c r="V2" s="2" t="s">
        <v>130</v>
      </c>
      <c r="W2" s="2">
        <v>1.37</v>
      </c>
      <c r="X2" s="8" t="str">
        <f>IF(W2&gt;6,"Yes","No")</f>
        <v>No</v>
      </c>
      <c r="Y2" s="2">
        <v>4.18</v>
      </c>
      <c r="Z2" s="2">
        <v>11.9</v>
      </c>
      <c r="AA2" s="8" t="str">
        <f>IF(Z2&lt;12,"Yes","No")</f>
        <v>Yes</v>
      </c>
      <c r="AB2" s="2">
        <v>36.6</v>
      </c>
      <c r="AC2" s="2">
        <v>87.6</v>
      </c>
      <c r="AD2" s="2">
        <v>28.5</v>
      </c>
      <c r="AE2" s="2">
        <v>32.5</v>
      </c>
      <c r="AF2" s="10" t="str">
        <f>IF(AH2&lt;150,"Yes","No")</f>
        <v>No</v>
      </c>
      <c r="AG2" s="8" t="str">
        <f>IF(AH2&gt;400,"Yes","No")</f>
        <v>No</v>
      </c>
      <c r="AH2" s="2">
        <v>275</v>
      </c>
      <c r="AI2" s="2">
        <v>4.38</v>
      </c>
      <c r="AJ2" s="2">
        <v>1.88</v>
      </c>
      <c r="AK2" s="10" t="str">
        <f>IF(AI2&lt;4,"Yes","No")</f>
        <v>No</v>
      </c>
      <c r="AL2" s="8" t="str">
        <f>IF(AI2&gt;10,"Yes","No")</f>
        <v>No</v>
      </c>
      <c r="AM2" s="2">
        <v>42.9</v>
      </c>
      <c r="AN2" s="8" t="str">
        <f>IF(AJ2&gt;7.5,"Yes","No")</f>
        <v>No</v>
      </c>
      <c r="AO2" s="10" t="str">
        <f>IF(AJ2&lt;2,"Yes","No")</f>
        <v>Yes</v>
      </c>
      <c r="AP2" s="2">
        <v>0.47</v>
      </c>
      <c r="AQ2" s="2">
        <v>10.7</v>
      </c>
      <c r="AR2" s="2">
        <v>0.04</v>
      </c>
      <c r="AS2" s="2">
        <v>0.9</v>
      </c>
      <c r="AT2" s="2">
        <v>1.68</v>
      </c>
      <c r="AU2" s="2">
        <v>38.4</v>
      </c>
      <c r="AV2" s="10" t="str">
        <f>IF(AT2&lt;1,"Yes","No")</f>
        <v>No</v>
      </c>
      <c r="AW2" s="8" t="str">
        <f>IF(AT2&gt;4,"Yes","No")</f>
        <v>No</v>
      </c>
      <c r="AX2" s="2">
        <v>0.31</v>
      </c>
      <c r="AY2" s="2">
        <v>7.1</v>
      </c>
      <c r="AZ2" s="10" t="str">
        <f>IF(AX2&lt;0.2,"Yes","No")</f>
        <v>No</v>
      </c>
      <c r="BA2" s="8" t="str">
        <f>IF(AX2&gt;1,"Yes","No")</f>
        <v>No</v>
      </c>
      <c r="BB2" s="2">
        <f t="shared" ref="BB2:BB41" si="0">IF(AT2=0," ",AJ2/AT2)</f>
        <v>1.1190476190476191</v>
      </c>
      <c r="BC2" s="2">
        <f>AX2/AT2</f>
        <v>0.18452380952380953</v>
      </c>
      <c r="BD2" s="2">
        <f>AH2/AT2</f>
        <v>163.6904761904762</v>
      </c>
    </row>
    <row r="3" spans="1:56" x14ac:dyDescent="0.2">
      <c r="A3" s="2" t="s">
        <v>244</v>
      </c>
      <c r="B3" s="2">
        <v>49</v>
      </c>
      <c r="C3" s="2">
        <v>23.31</v>
      </c>
      <c r="D3" s="2">
        <v>13</v>
      </c>
      <c r="E3" s="2">
        <v>21</v>
      </c>
      <c r="F3" s="2">
        <v>0</v>
      </c>
      <c r="G3" s="2" t="s">
        <v>64</v>
      </c>
      <c r="H3" s="2">
        <v>0</v>
      </c>
      <c r="I3" s="2" t="s">
        <v>61</v>
      </c>
      <c r="J3" s="2" t="s">
        <v>130</v>
      </c>
      <c r="K3" s="2" t="s">
        <v>130</v>
      </c>
      <c r="L3" s="4" t="s">
        <v>75</v>
      </c>
      <c r="M3" s="4" t="s">
        <v>49</v>
      </c>
      <c r="N3" s="4" t="s">
        <v>80</v>
      </c>
      <c r="O3" s="2" t="s">
        <v>131</v>
      </c>
      <c r="P3" s="2" t="s">
        <v>130</v>
      </c>
      <c r="Q3" s="2" t="s">
        <v>130</v>
      </c>
      <c r="R3" s="2" t="s">
        <v>130</v>
      </c>
      <c r="S3" s="2" t="s">
        <v>130</v>
      </c>
      <c r="T3" s="2" t="s">
        <v>131</v>
      </c>
      <c r="U3" s="2" t="s">
        <v>130</v>
      </c>
      <c r="V3" s="2" t="s">
        <v>130</v>
      </c>
      <c r="W3" s="2">
        <v>7.49</v>
      </c>
      <c r="X3" s="8" t="str">
        <f t="shared" ref="X3:X41" si="1">IF(W3&gt;6,"Yes","No")</f>
        <v>Yes</v>
      </c>
      <c r="Y3" s="2">
        <v>4.08</v>
      </c>
      <c r="Z3" s="2">
        <v>12.1</v>
      </c>
      <c r="AA3" s="8" t="str">
        <f>IF(Z3&lt;12,"Yes","No")</f>
        <v>No</v>
      </c>
      <c r="AB3" s="2">
        <v>37</v>
      </c>
      <c r="AC3" s="2">
        <v>90.7</v>
      </c>
      <c r="AD3" s="2">
        <v>29.7</v>
      </c>
      <c r="AE3" s="2">
        <v>32.700000000000003</v>
      </c>
      <c r="AF3" s="10" t="str">
        <f t="shared" ref="AF3:AF41" si="2">IF(AH3&lt;150,"Yes","No")</f>
        <v>No</v>
      </c>
      <c r="AG3" s="8" t="str">
        <f t="shared" ref="AG3:AG41" si="3">IF(AH3&gt;400,"Yes","No")</f>
        <v>No</v>
      </c>
      <c r="AH3" s="2">
        <v>293</v>
      </c>
      <c r="AI3" s="2">
        <v>4.34</v>
      </c>
      <c r="AJ3" s="2">
        <v>1.76</v>
      </c>
      <c r="AK3" s="10" t="str">
        <f t="shared" ref="AK3:AK41" si="4">IF(AI3&lt;4,"Yes","No")</f>
        <v>No</v>
      </c>
      <c r="AL3" s="8" t="str">
        <f t="shared" ref="AL3:AL41" si="5">IF(AI3&gt;10,"Yes","No")</f>
        <v>No</v>
      </c>
      <c r="AM3" s="2">
        <v>40.6</v>
      </c>
      <c r="AN3" s="8" t="str">
        <f t="shared" ref="AN3:AN41" si="6">IF(AJ3&gt;7.5,"Yes","No")</f>
        <v>No</v>
      </c>
      <c r="AO3" s="10" t="str">
        <f t="shared" ref="AO3:AO41" si="7">IF(AJ3&lt;2,"Yes","No")</f>
        <v>Yes</v>
      </c>
      <c r="AP3" s="2">
        <v>0.09</v>
      </c>
      <c r="AQ3" s="2">
        <v>2.1</v>
      </c>
      <c r="AR3" s="2">
        <v>0.01</v>
      </c>
      <c r="AS3" s="2">
        <v>0.2</v>
      </c>
      <c r="AT3" s="2">
        <v>2.17</v>
      </c>
      <c r="AU3" s="2">
        <v>50</v>
      </c>
      <c r="AV3" s="10" t="str">
        <f t="shared" ref="AV3:AV41" si="8">IF(AT3&lt;1,"Yes","No")</f>
        <v>No</v>
      </c>
      <c r="AW3" s="8" t="str">
        <f t="shared" ref="AW3:AW41" si="9">IF(AT3&gt;4,"Yes","No")</f>
        <v>No</v>
      </c>
      <c r="AX3" s="2">
        <v>0.31</v>
      </c>
      <c r="AY3" s="2">
        <v>7.1</v>
      </c>
      <c r="AZ3" s="10" t="str">
        <f t="shared" ref="AZ3:AZ41" si="10">IF(AX3&lt;0.2,"Yes","No")</f>
        <v>No</v>
      </c>
      <c r="BA3" s="8" t="str">
        <f t="shared" ref="BA3:BA41" si="11">IF(AX3&gt;1,"Yes","No")</f>
        <v>No</v>
      </c>
      <c r="BB3" s="2">
        <f t="shared" si="0"/>
        <v>0.81105990783410142</v>
      </c>
      <c r="BC3" s="2">
        <f t="shared" ref="BC3:BC41" si="12">AX3/AT3</f>
        <v>0.14285714285714285</v>
      </c>
      <c r="BD3" s="2">
        <f t="shared" ref="BD3:BD41" si="13">AH3/AT3</f>
        <v>135.02304147465438</v>
      </c>
    </row>
    <row r="4" spans="1:56" x14ac:dyDescent="0.2">
      <c r="A4" s="2" t="s">
        <v>245</v>
      </c>
      <c r="B4" s="2">
        <v>39</v>
      </c>
      <c r="C4" s="2">
        <v>25.71</v>
      </c>
      <c r="D4" s="2">
        <v>15</v>
      </c>
      <c r="E4" s="2">
        <v>20</v>
      </c>
      <c r="F4" s="2">
        <v>0</v>
      </c>
      <c r="G4" s="2" t="s">
        <v>64</v>
      </c>
      <c r="H4" s="2">
        <v>0</v>
      </c>
      <c r="I4" s="2" t="s">
        <v>61</v>
      </c>
      <c r="J4" s="2" t="s">
        <v>130</v>
      </c>
      <c r="K4" s="2" t="s">
        <v>130</v>
      </c>
      <c r="L4" s="4" t="s">
        <v>75</v>
      </c>
      <c r="M4" s="4" t="s">
        <v>49</v>
      </c>
      <c r="N4" s="4" t="s">
        <v>80</v>
      </c>
      <c r="O4" s="2" t="s">
        <v>130</v>
      </c>
      <c r="P4" s="2" t="s">
        <v>130</v>
      </c>
      <c r="Q4" s="2" t="s">
        <v>131</v>
      </c>
      <c r="R4" s="2" t="s">
        <v>130</v>
      </c>
      <c r="S4" s="2" t="s">
        <v>130</v>
      </c>
      <c r="T4" s="2" t="s">
        <v>130</v>
      </c>
      <c r="U4" s="2" t="s">
        <v>130</v>
      </c>
      <c r="V4" s="2" t="s">
        <v>130</v>
      </c>
      <c r="W4" s="2">
        <v>16</v>
      </c>
      <c r="X4" s="8" t="str">
        <f t="shared" si="1"/>
        <v>Yes</v>
      </c>
      <c r="Y4" s="2">
        <v>5.01</v>
      </c>
      <c r="Z4" s="2">
        <v>12.4</v>
      </c>
      <c r="AA4" s="8" t="str">
        <f t="shared" ref="AA4:AA8" si="14">IF(Z4&lt;12,"Yes","No")</f>
        <v>No</v>
      </c>
      <c r="AB4" s="2">
        <v>39.200000000000003</v>
      </c>
      <c r="AC4" s="2">
        <v>78.2</v>
      </c>
      <c r="AD4" s="2">
        <v>24.8</v>
      </c>
      <c r="AE4" s="2">
        <v>31.6</v>
      </c>
      <c r="AF4" s="10" t="str">
        <f t="shared" si="2"/>
        <v>No</v>
      </c>
      <c r="AG4" s="8" t="str">
        <f t="shared" si="3"/>
        <v>No</v>
      </c>
      <c r="AH4" s="2">
        <v>348</v>
      </c>
      <c r="AI4" s="2">
        <v>4.51</v>
      </c>
      <c r="AJ4" s="2">
        <v>1.58</v>
      </c>
      <c r="AK4" s="10" t="str">
        <f t="shared" si="4"/>
        <v>No</v>
      </c>
      <c r="AL4" s="8" t="str">
        <f t="shared" si="5"/>
        <v>No</v>
      </c>
      <c r="AM4" s="2">
        <v>35</v>
      </c>
      <c r="AN4" s="8" t="str">
        <f t="shared" si="6"/>
        <v>No</v>
      </c>
      <c r="AO4" s="10" t="str">
        <f t="shared" si="7"/>
        <v>Yes</v>
      </c>
      <c r="AP4" s="2">
        <v>0.13</v>
      </c>
      <c r="AQ4" s="2">
        <v>2.9</v>
      </c>
      <c r="AR4" s="2">
        <v>0.04</v>
      </c>
      <c r="AS4" s="2">
        <v>0.9</v>
      </c>
      <c r="AT4" s="2">
        <v>2.1800000000000002</v>
      </c>
      <c r="AU4" s="2">
        <v>48.3</v>
      </c>
      <c r="AV4" s="10" t="str">
        <f t="shared" si="8"/>
        <v>No</v>
      </c>
      <c r="AW4" s="8" t="str">
        <f t="shared" si="9"/>
        <v>No</v>
      </c>
      <c r="AX4" s="2">
        <v>0.57999999999999996</v>
      </c>
      <c r="AY4" s="2">
        <v>12.9</v>
      </c>
      <c r="AZ4" s="10" t="str">
        <f t="shared" si="10"/>
        <v>No</v>
      </c>
      <c r="BA4" s="8" t="str">
        <f t="shared" si="11"/>
        <v>No</v>
      </c>
      <c r="BB4" s="2">
        <f t="shared" si="0"/>
        <v>0.72477064220183485</v>
      </c>
      <c r="BC4" s="2">
        <f t="shared" si="12"/>
        <v>0.26605504587155959</v>
      </c>
      <c r="BD4" s="2">
        <f t="shared" si="13"/>
        <v>159.63302752293578</v>
      </c>
    </row>
    <row r="5" spans="1:56" x14ac:dyDescent="0.2">
      <c r="A5" s="2" t="s">
        <v>246</v>
      </c>
      <c r="B5" s="2">
        <v>39</v>
      </c>
      <c r="C5" s="2">
        <v>46.27</v>
      </c>
      <c r="D5" s="2">
        <v>13</v>
      </c>
      <c r="E5" s="2">
        <v>28</v>
      </c>
      <c r="F5" s="2">
        <v>3</v>
      </c>
      <c r="G5" s="2" t="s">
        <v>63</v>
      </c>
      <c r="H5" s="2">
        <v>3</v>
      </c>
      <c r="I5" s="2" t="s">
        <v>59</v>
      </c>
      <c r="J5" s="2" t="s">
        <v>130</v>
      </c>
      <c r="K5" s="2" t="s">
        <v>130</v>
      </c>
      <c r="L5" s="4" t="s">
        <v>75</v>
      </c>
      <c r="M5" s="4" t="s">
        <v>49</v>
      </c>
      <c r="N5" s="4" t="s">
        <v>80</v>
      </c>
      <c r="O5" s="2" t="s">
        <v>130</v>
      </c>
      <c r="P5" s="2" t="s">
        <v>131</v>
      </c>
      <c r="Q5" s="2" t="s">
        <v>131</v>
      </c>
      <c r="R5" s="2" t="s">
        <v>130</v>
      </c>
      <c r="S5" s="2" t="s">
        <v>130</v>
      </c>
      <c r="T5" s="2" t="s">
        <v>131</v>
      </c>
      <c r="U5" s="2" t="s">
        <v>130</v>
      </c>
      <c r="V5" s="2" t="s">
        <v>130</v>
      </c>
      <c r="W5" s="2">
        <v>29.6</v>
      </c>
      <c r="X5" s="8" t="str">
        <f t="shared" si="1"/>
        <v>Yes</v>
      </c>
      <c r="Y5" s="2">
        <v>4.83</v>
      </c>
      <c r="Z5" s="2">
        <v>12.7</v>
      </c>
      <c r="AA5" s="8" t="str">
        <f t="shared" si="14"/>
        <v>No</v>
      </c>
      <c r="AB5" s="2">
        <v>40.200000000000003</v>
      </c>
      <c r="AC5" s="2">
        <v>83.2</v>
      </c>
      <c r="AD5" s="2">
        <v>26.3</v>
      </c>
      <c r="AE5" s="2">
        <v>31.6</v>
      </c>
      <c r="AF5" s="10" t="str">
        <f t="shared" si="2"/>
        <v>No</v>
      </c>
      <c r="AG5" s="8" t="str">
        <f t="shared" si="3"/>
        <v>No</v>
      </c>
      <c r="AH5" s="2">
        <v>330</v>
      </c>
      <c r="AI5" s="2">
        <v>5.95</v>
      </c>
      <c r="AJ5" s="2">
        <v>2.56</v>
      </c>
      <c r="AK5" s="10" t="str">
        <f t="shared" si="4"/>
        <v>No</v>
      </c>
      <c r="AL5" s="8" t="str">
        <f t="shared" si="5"/>
        <v>No</v>
      </c>
      <c r="AM5" s="2">
        <v>43</v>
      </c>
      <c r="AN5" s="8" t="str">
        <f t="shared" si="6"/>
        <v>No</v>
      </c>
      <c r="AO5" s="10" t="str">
        <f t="shared" si="7"/>
        <v>No</v>
      </c>
      <c r="AP5" s="2">
        <v>0.2</v>
      </c>
      <c r="AQ5" s="2">
        <v>3.4</v>
      </c>
      <c r="AR5" s="2">
        <v>0.03</v>
      </c>
      <c r="AS5" s="2">
        <v>0.5</v>
      </c>
      <c r="AT5" s="2">
        <v>2.76</v>
      </c>
      <c r="AU5" s="2">
        <v>46.4</v>
      </c>
      <c r="AV5" s="10" t="str">
        <f t="shared" si="8"/>
        <v>No</v>
      </c>
      <c r="AW5" s="8" t="str">
        <f t="shared" si="9"/>
        <v>No</v>
      </c>
      <c r="AX5" s="2">
        <v>0.4</v>
      </c>
      <c r="AY5" s="2">
        <v>6.7</v>
      </c>
      <c r="AZ5" s="10" t="str">
        <f t="shared" si="10"/>
        <v>No</v>
      </c>
      <c r="BA5" s="8" t="str">
        <f t="shared" si="11"/>
        <v>No</v>
      </c>
      <c r="BB5" s="2">
        <f t="shared" si="0"/>
        <v>0.92753623188405809</v>
      </c>
      <c r="BC5" s="2">
        <f t="shared" si="12"/>
        <v>0.14492753623188409</v>
      </c>
      <c r="BD5" s="2">
        <f t="shared" si="13"/>
        <v>119.56521739130436</v>
      </c>
    </row>
    <row r="6" spans="1:56" x14ac:dyDescent="0.2">
      <c r="A6" s="2" t="s">
        <v>247</v>
      </c>
      <c r="B6" s="2">
        <v>46</v>
      </c>
      <c r="C6" s="2">
        <v>29.84</v>
      </c>
      <c r="D6" s="2">
        <v>12</v>
      </c>
      <c r="E6" s="2">
        <v>34</v>
      </c>
      <c r="F6" s="2">
        <v>2</v>
      </c>
      <c r="G6" s="2" t="s">
        <v>63</v>
      </c>
      <c r="H6" s="2">
        <v>3</v>
      </c>
      <c r="I6" s="2" t="s">
        <v>59</v>
      </c>
      <c r="J6" s="2" t="s">
        <v>131</v>
      </c>
      <c r="K6" s="2" t="s">
        <v>130</v>
      </c>
      <c r="L6" s="4" t="s">
        <v>75</v>
      </c>
      <c r="M6" s="4" t="s">
        <v>49</v>
      </c>
      <c r="N6" s="4" t="s">
        <v>80</v>
      </c>
      <c r="O6" s="2" t="s">
        <v>130</v>
      </c>
      <c r="P6" s="2" t="s">
        <v>130</v>
      </c>
      <c r="Q6" s="2" t="s">
        <v>131</v>
      </c>
      <c r="R6" s="2" t="s">
        <v>130</v>
      </c>
      <c r="S6" s="2" t="s">
        <v>130</v>
      </c>
      <c r="T6" s="2" t="s">
        <v>131</v>
      </c>
      <c r="U6" s="2" t="s">
        <v>130</v>
      </c>
      <c r="V6" s="2" t="s">
        <v>130</v>
      </c>
      <c r="W6" s="2">
        <v>2.52</v>
      </c>
      <c r="X6" s="8" t="str">
        <f t="shared" si="1"/>
        <v>No</v>
      </c>
      <c r="Y6" s="2">
        <v>4.59</v>
      </c>
      <c r="Z6" s="2">
        <v>12.9</v>
      </c>
      <c r="AA6" s="8" t="str">
        <f t="shared" si="14"/>
        <v>No</v>
      </c>
      <c r="AB6" s="2">
        <v>40.299999999999997</v>
      </c>
      <c r="AC6" s="2">
        <v>87.8</v>
      </c>
      <c r="AD6" s="2">
        <v>28.1</v>
      </c>
      <c r="AE6" s="2">
        <v>32</v>
      </c>
      <c r="AF6" s="10" t="str">
        <f t="shared" si="2"/>
        <v>No</v>
      </c>
      <c r="AG6" s="8" t="str">
        <f t="shared" si="3"/>
        <v>No</v>
      </c>
      <c r="AH6" s="2">
        <v>212</v>
      </c>
      <c r="AI6" s="2">
        <v>5.01</v>
      </c>
      <c r="AJ6" s="2">
        <v>1.86</v>
      </c>
      <c r="AK6" s="10" t="str">
        <f t="shared" si="4"/>
        <v>No</v>
      </c>
      <c r="AL6" s="8" t="str">
        <f t="shared" si="5"/>
        <v>No</v>
      </c>
      <c r="AM6" s="2">
        <v>37.1</v>
      </c>
      <c r="AN6" s="8" t="str">
        <f t="shared" si="6"/>
        <v>No</v>
      </c>
      <c r="AO6" s="10" t="str">
        <f t="shared" si="7"/>
        <v>Yes</v>
      </c>
      <c r="AP6" s="2">
        <v>0.03</v>
      </c>
      <c r="AQ6" s="2">
        <v>0.6</v>
      </c>
      <c r="AR6" s="2">
        <v>0.06</v>
      </c>
      <c r="AS6" s="2">
        <v>1.2</v>
      </c>
      <c r="AT6" s="2">
        <v>2.5499999999999998</v>
      </c>
      <c r="AU6" s="2">
        <v>50.9</v>
      </c>
      <c r="AV6" s="10" t="str">
        <f t="shared" si="8"/>
        <v>No</v>
      </c>
      <c r="AW6" s="8" t="str">
        <f t="shared" si="9"/>
        <v>No</v>
      </c>
      <c r="AX6" s="2">
        <v>0.51</v>
      </c>
      <c r="AY6" s="2">
        <v>10.199999999999999</v>
      </c>
      <c r="AZ6" s="10" t="str">
        <f t="shared" si="10"/>
        <v>No</v>
      </c>
      <c r="BA6" s="8" t="str">
        <f t="shared" si="11"/>
        <v>No</v>
      </c>
      <c r="BB6" s="2">
        <f t="shared" si="0"/>
        <v>0.72941176470588243</v>
      </c>
      <c r="BC6" s="2">
        <f t="shared" si="12"/>
        <v>0.2</v>
      </c>
      <c r="BD6" s="2">
        <f t="shared" si="13"/>
        <v>83.137254901960787</v>
      </c>
    </row>
    <row r="7" spans="1:56" x14ac:dyDescent="0.2">
      <c r="A7" s="2" t="s">
        <v>248</v>
      </c>
      <c r="B7" s="2">
        <v>48</v>
      </c>
      <c r="C7" s="2">
        <v>28.48</v>
      </c>
      <c r="D7" s="2">
        <v>17</v>
      </c>
      <c r="E7" s="2">
        <v>19</v>
      </c>
      <c r="F7" s="2">
        <v>0</v>
      </c>
      <c r="G7" s="2" t="s">
        <v>64</v>
      </c>
      <c r="H7" s="2">
        <v>0</v>
      </c>
      <c r="I7" s="2" t="s">
        <v>61</v>
      </c>
      <c r="J7" s="2" t="s">
        <v>130</v>
      </c>
      <c r="K7" s="2" t="s">
        <v>130</v>
      </c>
      <c r="L7" s="4" t="s">
        <v>75</v>
      </c>
      <c r="M7" s="4" t="s">
        <v>49</v>
      </c>
      <c r="N7" s="4" t="s">
        <v>80</v>
      </c>
      <c r="O7" s="2" t="s">
        <v>130</v>
      </c>
      <c r="P7" s="2" t="s">
        <v>130</v>
      </c>
      <c r="Q7" s="2" t="s">
        <v>131</v>
      </c>
      <c r="R7" s="2" t="s">
        <v>130</v>
      </c>
      <c r="S7" s="2" t="s">
        <v>130</v>
      </c>
      <c r="T7" s="2" t="s">
        <v>131</v>
      </c>
      <c r="U7" s="2" t="s">
        <v>130</v>
      </c>
      <c r="V7" s="2" t="s">
        <v>130</v>
      </c>
      <c r="W7" s="2">
        <v>0.39700000000000002</v>
      </c>
      <c r="X7" s="8" t="str">
        <f t="shared" si="1"/>
        <v>No</v>
      </c>
      <c r="Y7" s="2">
        <v>3.98</v>
      </c>
      <c r="Z7" s="2">
        <v>11.8</v>
      </c>
      <c r="AA7" s="8" t="str">
        <f t="shared" si="14"/>
        <v>Yes</v>
      </c>
      <c r="AB7" s="2">
        <v>37.5</v>
      </c>
      <c r="AC7" s="2">
        <v>94.2</v>
      </c>
      <c r="AD7" s="2">
        <v>29.6</v>
      </c>
      <c r="AE7" s="2">
        <v>31.5</v>
      </c>
      <c r="AF7" s="10" t="str">
        <f t="shared" si="2"/>
        <v>No</v>
      </c>
      <c r="AG7" s="8" t="str">
        <f t="shared" si="3"/>
        <v>No</v>
      </c>
      <c r="AH7" s="2">
        <v>288</v>
      </c>
      <c r="AI7" s="2">
        <v>3.38</v>
      </c>
      <c r="AJ7" s="2">
        <v>1.03</v>
      </c>
      <c r="AK7" s="10" t="str">
        <f t="shared" si="4"/>
        <v>Yes</v>
      </c>
      <c r="AL7" s="8" t="str">
        <f t="shared" si="5"/>
        <v>No</v>
      </c>
      <c r="AM7" s="2">
        <v>30.4</v>
      </c>
      <c r="AN7" s="8" t="str">
        <f t="shared" si="6"/>
        <v>No</v>
      </c>
      <c r="AO7" s="10" t="str">
        <f t="shared" si="7"/>
        <v>Yes</v>
      </c>
      <c r="AP7" s="2">
        <v>0.1</v>
      </c>
      <c r="AQ7" s="2">
        <v>3</v>
      </c>
      <c r="AR7" s="2">
        <v>0.04</v>
      </c>
      <c r="AS7" s="2">
        <v>1.2</v>
      </c>
      <c r="AT7" s="2">
        <v>1.91</v>
      </c>
      <c r="AU7" s="2">
        <v>56.5</v>
      </c>
      <c r="AV7" s="10" t="str">
        <f t="shared" si="8"/>
        <v>No</v>
      </c>
      <c r="AW7" s="8" t="str">
        <f t="shared" si="9"/>
        <v>No</v>
      </c>
      <c r="AX7" s="2">
        <v>0.3</v>
      </c>
      <c r="AY7" s="2">
        <v>8.9</v>
      </c>
      <c r="AZ7" s="10" t="str">
        <f t="shared" si="10"/>
        <v>No</v>
      </c>
      <c r="BA7" s="8" t="str">
        <f t="shared" si="11"/>
        <v>No</v>
      </c>
      <c r="BB7" s="2">
        <f t="shared" si="0"/>
        <v>0.53926701570680635</v>
      </c>
      <c r="BC7" s="2">
        <f t="shared" si="12"/>
        <v>0.15706806282722513</v>
      </c>
      <c r="BD7" s="2">
        <f t="shared" si="13"/>
        <v>150.78534031413614</v>
      </c>
    </row>
    <row r="8" spans="1:56" x14ac:dyDescent="0.2">
      <c r="A8" s="2" t="s">
        <v>249</v>
      </c>
      <c r="B8" s="2">
        <v>45</v>
      </c>
      <c r="C8" s="2">
        <v>25.95</v>
      </c>
      <c r="D8" s="2">
        <v>13</v>
      </c>
      <c r="E8" s="2">
        <v>30</v>
      </c>
      <c r="F8" s="2">
        <v>3</v>
      </c>
      <c r="G8" s="2" t="s">
        <v>63</v>
      </c>
      <c r="H8" s="2">
        <v>5</v>
      </c>
      <c r="I8" s="2" t="s">
        <v>59</v>
      </c>
      <c r="J8" s="2" t="s">
        <v>131</v>
      </c>
      <c r="K8" s="2" t="s">
        <v>130</v>
      </c>
      <c r="L8" s="4" t="s">
        <v>75</v>
      </c>
      <c r="M8" s="4" t="s">
        <v>49</v>
      </c>
      <c r="N8" s="4" t="s">
        <v>80</v>
      </c>
      <c r="O8" s="2" t="s">
        <v>130</v>
      </c>
      <c r="P8" s="2" t="s">
        <v>130</v>
      </c>
      <c r="Q8" s="2" t="s">
        <v>131</v>
      </c>
      <c r="R8" s="2" t="s">
        <v>130</v>
      </c>
      <c r="S8" s="2" t="s">
        <v>130</v>
      </c>
      <c r="T8" s="2" t="s">
        <v>131</v>
      </c>
      <c r="U8" s="2" t="s">
        <v>130</v>
      </c>
      <c r="V8" s="2" t="s">
        <v>130</v>
      </c>
      <c r="W8" s="2">
        <v>4.05</v>
      </c>
      <c r="X8" s="8" t="str">
        <f t="shared" si="1"/>
        <v>No</v>
      </c>
      <c r="Y8" s="2">
        <v>3.93</v>
      </c>
      <c r="Z8" s="2">
        <v>11.7</v>
      </c>
      <c r="AA8" s="8" t="str">
        <f t="shared" si="14"/>
        <v>Yes</v>
      </c>
      <c r="AB8" s="2">
        <v>36.1</v>
      </c>
      <c r="AC8" s="2">
        <v>91.9</v>
      </c>
      <c r="AD8" s="2">
        <v>29.8</v>
      </c>
      <c r="AE8" s="2">
        <v>32.4</v>
      </c>
      <c r="AF8" s="10" t="str">
        <f t="shared" si="2"/>
        <v>No</v>
      </c>
      <c r="AG8" s="8" t="str">
        <f t="shared" si="3"/>
        <v>No</v>
      </c>
      <c r="AH8" s="2">
        <v>286</v>
      </c>
      <c r="AI8" s="2">
        <v>2.85</v>
      </c>
      <c r="AJ8" s="2">
        <v>1.24</v>
      </c>
      <c r="AK8" s="10" t="str">
        <f t="shared" si="4"/>
        <v>Yes</v>
      </c>
      <c r="AL8" s="8" t="str">
        <f t="shared" si="5"/>
        <v>No</v>
      </c>
      <c r="AM8" s="2">
        <v>43.4</v>
      </c>
      <c r="AN8" s="8" t="str">
        <f t="shared" si="6"/>
        <v>No</v>
      </c>
      <c r="AO8" s="10" t="str">
        <f t="shared" si="7"/>
        <v>Yes</v>
      </c>
      <c r="AP8" s="2">
        <v>0.02</v>
      </c>
      <c r="AQ8" s="2">
        <v>0.7</v>
      </c>
      <c r="AR8" s="2">
        <v>0.05</v>
      </c>
      <c r="AS8" s="2">
        <v>1.8</v>
      </c>
      <c r="AT8" s="2">
        <v>1.35</v>
      </c>
      <c r="AU8" s="2">
        <v>47.4</v>
      </c>
      <c r="AV8" s="10" t="str">
        <f t="shared" si="8"/>
        <v>No</v>
      </c>
      <c r="AW8" s="8" t="str">
        <f t="shared" si="9"/>
        <v>No</v>
      </c>
      <c r="AX8" s="2">
        <v>0.19</v>
      </c>
      <c r="AY8" s="2">
        <v>6.7</v>
      </c>
      <c r="AZ8" s="10" t="str">
        <f t="shared" si="10"/>
        <v>Yes</v>
      </c>
      <c r="BA8" s="8" t="str">
        <f t="shared" si="11"/>
        <v>No</v>
      </c>
      <c r="BB8" s="2">
        <f t="shared" si="0"/>
        <v>0.9185185185185184</v>
      </c>
      <c r="BC8" s="2">
        <f t="shared" si="12"/>
        <v>0.14074074074074072</v>
      </c>
      <c r="BD8" s="2">
        <f t="shared" si="13"/>
        <v>211.85185185185185</v>
      </c>
    </row>
    <row r="9" spans="1:56" x14ac:dyDescent="0.2">
      <c r="A9" s="2" t="s">
        <v>250</v>
      </c>
      <c r="B9" s="2">
        <v>45</v>
      </c>
      <c r="C9" s="2">
        <v>68.680000000000007</v>
      </c>
      <c r="D9" s="2">
        <v>14</v>
      </c>
      <c r="E9" s="2">
        <v>21</v>
      </c>
      <c r="F9" s="2">
        <v>4</v>
      </c>
      <c r="G9" s="2" t="s">
        <v>63</v>
      </c>
      <c r="H9" s="2">
        <v>6</v>
      </c>
      <c r="I9" s="2" t="s">
        <v>59</v>
      </c>
      <c r="J9" s="2" t="s">
        <v>131</v>
      </c>
      <c r="K9" s="2" t="s">
        <v>130</v>
      </c>
      <c r="L9" s="4" t="s">
        <v>75</v>
      </c>
      <c r="M9" s="4" t="s">
        <v>49</v>
      </c>
      <c r="N9" s="2" t="s">
        <v>89</v>
      </c>
      <c r="O9" s="2" t="s">
        <v>130</v>
      </c>
      <c r="P9" s="2" t="s">
        <v>130</v>
      </c>
      <c r="Q9" s="2" t="s">
        <v>130</v>
      </c>
      <c r="R9" s="2" t="s">
        <v>130</v>
      </c>
      <c r="S9" s="2" t="s">
        <v>130</v>
      </c>
      <c r="T9" s="2" t="s">
        <v>131</v>
      </c>
      <c r="U9" s="2" t="s">
        <v>130</v>
      </c>
      <c r="V9" s="2" t="s">
        <v>130</v>
      </c>
      <c r="W9" s="2">
        <v>14.3</v>
      </c>
      <c r="X9" s="8" t="str">
        <f t="shared" si="1"/>
        <v>Yes</v>
      </c>
      <c r="Y9" s="2">
        <v>4.7699999999999996</v>
      </c>
      <c r="Z9" s="2">
        <v>13.2</v>
      </c>
      <c r="AA9" s="8" t="str">
        <f t="shared" ref="AA9:AA12" si="15">IF(Z9&lt;12,"Yes","No")</f>
        <v>No</v>
      </c>
      <c r="AB9" s="2">
        <v>40.5</v>
      </c>
      <c r="AC9" s="2">
        <v>84.9</v>
      </c>
      <c r="AD9" s="2">
        <v>27.7</v>
      </c>
      <c r="AE9" s="2">
        <v>32.6</v>
      </c>
      <c r="AF9" s="10" t="str">
        <f t="shared" si="2"/>
        <v>No</v>
      </c>
      <c r="AG9" s="8" t="str">
        <f t="shared" si="3"/>
        <v>No</v>
      </c>
      <c r="AH9" s="2">
        <v>353</v>
      </c>
      <c r="AI9" s="2">
        <v>4.3600000000000003</v>
      </c>
      <c r="AJ9" s="2">
        <v>2.23</v>
      </c>
      <c r="AK9" s="10" t="str">
        <f t="shared" si="4"/>
        <v>No</v>
      </c>
      <c r="AL9" s="8" t="str">
        <f t="shared" si="5"/>
        <v>No</v>
      </c>
      <c r="AM9" s="2">
        <v>51.1</v>
      </c>
      <c r="AN9" s="8" t="str">
        <f t="shared" si="6"/>
        <v>No</v>
      </c>
      <c r="AO9" s="10" t="str">
        <f t="shared" si="7"/>
        <v>No</v>
      </c>
      <c r="AP9" s="2">
        <v>0.16</v>
      </c>
      <c r="AQ9" s="2">
        <v>3.7</v>
      </c>
      <c r="AR9" s="2">
        <v>0.03</v>
      </c>
      <c r="AS9" s="2">
        <v>0.7</v>
      </c>
      <c r="AT9" s="2">
        <v>1.63</v>
      </c>
      <c r="AU9" s="2">
        <v>37.4</v>
      </c>
      <c r="AV9" s="10" t="str">
        <f t="shared" si="8"/>
        <v>No</v>
      </c>
      <c r="AW9" s="8" t="str">
        <f t="shared" si="9"/>
        <v>No</v>
      </c>
      <c r="AX9" s="2">
        <v>0.31</v>
      </c>
      <c r="AY9" s="2">
        <v>7.1</v>
      </c>
      <c r="AZ9" s="10" t="str">
        <f t="shared" si="10"/>
        <v>No</v>
      </c>
      <c r="BA9" s="8" t="str">
        <f t="shared" si="11"/>
        <v>No</v>
      </c>
      <c r="BB9" s="2">
        <f t="shared" si="0"/>
        <v>1.3680981595092025</v>
      </c>
      <c r="BC9" s="2">
        <f t="shared" si="12"/>
        <v>0.19018404907975461</v>
      </c>
      <c r="BD9" s="2">
        <f t="shared" si="13"/>
        <v>216.56441717791412</v>
      </c>
    </row>
    <row r="10" spans="1:56" x14ac:dyDescent="0.2">
      <c r="A10" s="2" t="s">
        <v>211</v>
      </c>
      <c r="B10" s="2">
        <v>44</v>
      </c>
      <c r="C10" s="2">
        <v>28.83</v>
      </c>
      <c r="D10" s="2">
        <v>14</v>
      </c>
      <c r="E10" s="2">
        <v>23</v>
      </c>
      <c r="F10" s="2">
        <v>6</v>
      </c>
      <c r="G10" s="2" t="s">
        <v>63</v>
      </c>
      <c r="H10" s="2">
        <v>10</v>
      </c>
      <c r="I10" s="2" t="s">
        <v>59</v>
      </c>
      <c r="J10" s="2" t="s">
        <v>131</v>
      </c>
      <c r="K10" s="2" t="s">
        <v>130</v>
      </c>
      <c r="L10" s="2" t="s">
        <v>45</v>
      </c>
      <c r="M10" s="2" t="s">
        <v>47</v>
      </c>
      <c r="N10" s="2" t="s">
        <v>55</v>
      </c>
      <c r="O10" s="2" t="s">
        <v>131</v>
      </c>
      <c r="P10" s="2" t="s">
        <v>131</v>
      </c>
      <c r="Q10" s="2" t="s">
        <v>131</v>
      </c>
      <c r="R10" s="2" t="s">
        <v>130</v>
      </c>
      <c r="S10" s="2" t="s">
        <v>130</v>
      </c>
      <c r="T10" s="2" t="s">
        <v>131</v>
      </c>
      <c r="U10" s="2" t="s">
        <v>130</v>
      </c>
      <c r="V10" s="2" t="s">
        <v>130</v>
      </c>
      <c r="W10" s="2">
        <v>4.2</v>
      </c>
      <c r="X10" s="8" t="str">
        <f t="shared" si="1"/>
        <v>No</v>
      </c>
      <c r="Y10" s="2">
        <v>4.4800000000000004</v>
      </c>
      <c r="Z10" s="2">
        <v>13.1</v>
      </c>
      <c r="AA10" s="8" t="str">
        <f t="shared" si="15"/>
        <v>No</v>
      </c>
      <c r="AB10" s="2">
        <v>38.299999999999997</v>
      </c>
      <c r="AC10" s="2">
        <v>85.5</v>
      </c>
      <c r="AD10" s="2">
        <v>29.2</v>
      </c>
      <c r="AE10" s="2">
        <v>34.200000000000003</v>
      </c>
      <c r="AF10" s="10" t="str">
        <f t="shared" si="2"/>
        <v>No</v>
      </c>
      <c r="AG10" s="8" t="str">
        <f t="shared" si="3"/>
        <v>No</v>
      </c>
      <c r="AH10" s="2">
        <v>279</v>
      </c>
      <c r="AI10" s="2">
        <v>7.5</v>
      </c>
      <c r="AJ10" s="2">
        <v>3.41</v>
      </c>
      <c r="AK10" s="10" t="str">
        <f t="shared" si="4"/>
        <v>No</v>
      </c>
      <c r="AL10" s="8" t="str">
        <f t="shared" si="5"/>
        <v>No</v>
      </c>
      <c r="AM10" s="2">
        <v>45.4</v>
      </c>
      <c r="AN10" s="8" t="str">
        <f t="shared" si="6"/>
        <v>No</v>
      </c>
      <c r="AO10" s="10" t="str">
        <f t="shared" si="7"/>
        <v>No</v>
      </c>
      <c r="AP10" s="2">
        <v>0.62</v>
      </c>
      <c r="AQ10" s="2">
        <v>8.3000000000000007</v>
      </c>
      <c r="AR10" s="2">
        <v>0.06</v>
      </c>
      <c r="AS10" s="2">
        <v>0.8</v>
      </c>
      <c r="AT10" s="2">
        <v>2.72</v>
      </c>
      <c r="AU10" s="2">
        <v>36.299999999999997</v>
      </c>
      <c r="AV10" s="10" t="str">
        <f t="shared" si="8"/>
        <v>No</v>
      </c>
      <c r="AW10" s="8" t="str">
        <f t="shared" si="9"/>
        <v>No</v>
      </c>
      <c r="AX10" s="2">
        <v>0.69</v>
      </c>
      <c r="AY10" s="2">
        <v>9.1999999999999993</v>
      </c>
      <c r="AZ10" s="10" t="str">
        <f t="shared" si="10"/>
        <v>No</v>
      </c>
      <c r="BA10" s="8" t="str">
        <f t="shared" si="11"/>
        <v>No</v>
      </c>
      <c r="BB10" s="2">
        <f t="shared" si="0"/>
        <v>1.2536764705882353</v>
      </c>
      <c r="BC10" s="2">
        <f t="shared" si="12"/>
        <v>0.25367647058823528</v>
      </c>
      <c r="BD10" s="2">
        <f t="shared" si="13"/>
        <v>102.5735294117647</v>
      </c>
    </row>
    <row r="11" spans="1:56" x14ac:dyDescent="0.2">
      <c r="A11" s="2" t="s">
        <v>212</v>
      </c>
      <c r="B11" s="2">
        <v>59</v>
      </c>
      <c r="C11" s="2">
        <v>31.61</v>
      </c>
      <c r="D11" s="2">
        <v>13</v>
      </c>
      <c r="E11" s="2">
        <v>22</v>
      </c>
      <c r="F11" s="2">
        <v>3</v>
      </c>
      <c r="G11" s="2" t="s">
        <v>63</v>
      </c>
      <c r="H11" s="2">
        <v>4</v>
      </c>
      <c r="I11" s="2" t="s">
        <v>59</v>
      </c>
      <c r="J11" s="2" t="s">
        <v>131</v>
      </c>
      <c r="K11" s="2" t="s">
        <v>130</v>
      </c>
      <c r="L11" s="2" t="s">
        <v>45</v>
      </c>
      <c r="M11" s="2" t="s">
        <v>46</v>
      </c>
      <c r="N11" s="2" t="s">
        <v>55</v>
      </c>
      <c r="O11" s="2" t="s">
        <v>131</v>
      </c>
      <c r="P11" s="2" t="s">
        <v>130</v>
      </c>
      <c r="Q11" s="2" t="s">
        <v>130</v>
      </c>
      <c r="R11" s="2" t="s">
        <v>130</v>
      </c>
      <c r="S11" s="2" t="s">
        <v>130</v>
      </c>
      <c r="T11" s="2" t="s">
        <v>131</v>
      </c>
      <c r="U11" s="2" t="s">
        <v>130</v>
      </c>
      <c r="V11" s="2" t="s">
        <v>130</v>
      </c>
      <c r="W11" s="2">
        <v>16.899999999999999</v>
      </c>
      <c r="X11" s="8" t="str">
        <f t="shared" si="1"/>
        <v>Yes</v>
      </c>
      <c r="Y11" s="2">
        <v>4.84</v>
      </c>
      <c r="Z11" s="2">
        <v>13.2</v>
      </c>
      <c r="AA11" s="8" t="str">
        <f t="shared" si="15"/>
        <v>No</v>
      </c>
      <c r="AB11" s="2">
        <v>40.700000000000003</v>
      </c>
      <c r="AC11" s="2">
        <v>84.1</v>
      </c>
      <c r="AD11" s="2">
        <v>27.3</v>
      </c>
      <c r="AE11" s="2">
        <v>32.4</v>
      </c>
      <c r="AF11" s="10" t="str">
        <f t="shared" si="2"/>
        <v>No</v>
      </c>
      <c r="AG11" s="8" t="str">
        <f t="shared" si="3"/>
        <v>No</v>
      </c>
      <c r="AH11" s="2">
        <v>339</v>
      </c>
      <c r="AI11" s="2">
        <v>11.39</v>
      </c>
      <c r="AJ11" s="2">
        <v>6.18</v>
      </c>
      <c r="AK11" s="10" t="str">
        <f t="shared" si="4"/>
        <v>No</v>
      </c>
      <c r="AL11" s="8" t="str">
        <f t="shared" si="5"/>
        <v>Yes</v>
      </c>
      <c r="AM11" s="2">
        <v>54.2</v>
      </c>
      <c r="AN11" s="8" t="str">
        <f t="shared" si="6"/>
        <v>No</v>
      </c>
      <c r="AO11" s="10" t="str">
        <f t="shared" si="7"/>
        <v>No</v>
      </c>
      <c r="AP11" s="2">
        <v>0.12</v>
      </c>
      <c r="AQ11" s="2">
        <v>1.1000000000000001</v>
      </c>
      <c r="AR11" s="2">
        <v>0.2</v>
      </c>
      <c r="AS11" s="2">
        <v>1.8</v>
      </c>
      <c r="AT11" s="2">
        <v>4.25</v>
      </c>
      <c r="AU11" s="2">
        <v>37.299999999999997</v>
      </c>
      <c r="AV11" s="10" t="str">
        <f t="shared" si="8"/>
        <v>No</v>
      </c>
      <c r="AW11" s="8" t="str">
        <f t="shared" si="9"/>
        <v>Yes</v>
      </c>
      <c r="AX11" s="2">
        <v>0.64</v>
      </c>
      <c r="AY11" s="2">
        <v>5.6</v>
      </c>
      <c r="AZ11" s="10" t="str">
        <f t="shared" si="10"/>
        <v>No</v>
      </c>
      <c r="BA11" s="8" t="str">
        <f t="shared" si="11"/>
        <v>No</v>
      </c>
      <c r="BB11" s="2">
        <f t="shared" si="0"/>
        <v>1.4541176470588235</v>
      </c>
      <c r="BC11" s="2">
        <f t="shared" si="12"/>
        <v>0.15058823529411766</v>
      </c>
      <c r="BD11" s="2">
        <f t="shared" si="13"/>
        <v>79.764705882352942</v>
      </c>
    </row>
    <row r="12" spans="1:56" x14ac:dyDescent="0.2">
      <c r="A12" s="2" t="s">
        <v>213</v>
      </c>
      <c r="B12" s="2">
        <v>54</v>
      </c>
      <c r="C12" s="2">
        <v>16.309999999999999</v>
      </c>
      <c r="D12" s="2">
        <v>13</v>
      </c>
      <c r="E12" s="2">
        <v>12</v>
      </c>
      <c r="F12" s="2">
        <v>4</v>
      </c>
      <c r="G12" s="2" t="s">
        <v>63</v>
      </c>
      <c r="H12" s="2">
        <v>4</v>
      </c>
      <c r="I12" s="2" t="s">
        <v>59</v>
      </c>
      <c r="J12" s="2" t="s">
        <v>130</v>
      </c>
      <c r="K12" s="2" t="s">
        <v>130</v>
      </c>
      <c r="L12" s="2" t="s">
        <v>45</v>
      </c>
      <c r="M12" s="2" t="s">
        <v>48</v>
      </c>
      <c r="N12" s="2" t="s">
        <v>54</v>
      </c>
      <c r="O12" s="2" t="s">
        <v>131</v>
      </c>
      <c r="P12" s="2" t="s">
        <v>130</v>
      </c>
      <c r="Q12" s="2" t="s">
        <v>131</v>
      </c>
      <c r="R12" s="2" t="s">
        <v>131</v>
      </c>
      <c r="S12" s="2" t="s">
        <v>130</v>
      </c>
      <c r="T12" s="2" t="s">
        <v>131</v>
      </c>
      <c r="U12" s="2" t="s">
        <v>130</v>
      </c>
      <c r="V12" s="2" t="s">
        <v>130</v>
      </c>
      <c r="W12" s="2">
        <v>0.2</v>
      </c>
      <c r="X12" s="8" t="str">
        <f t="shared" si="1"/>
        <v>No</v>
      </c>
      <c r="Y12" s="2">
        <v>4.16</v>
      </c>
      <c r="Z12" s="2">
        <v>12.4</v>
      </c>
      <c r="AA12" s="8" t="str">
        <f t="shared" si="15"/>
        <v>No</v>
      </c>
      <c r="AB12" s="2">
        <v>38.200000000000003</v>
      </c>
      <c r="AC12" s="2">
        <v>91.8</v>
      </c>
      <c r="AD12" s="2">
        <v>29.8</v>
      </c>
      <c r="AE12" s="2">
        <v>32.5</v>
      </c>
      <c r="AF12" s="10" t="str">
        <f t="shared" si="2"/>
        <v>No</v>
      </c>
      <c r="AG12" s="8" t="str">
        <f t="shared" si="3"/>
        <v>No</v>
      </c>
      <c r="AH12" s="2">
        <v>270</v>
      </c>
      <c r="AI12" s="2">
        <v>3.31</v>
      </c>
      <c r="AJ12" s="2">
        <v>1.89</v>
      </c>
      <c r="AK12" s="10" t="str">
        <f t="shared" si="4"/>
        <v>Yes</v>
      </c>
      <c r="AL12" s="8" t="str">
        <f t="shared" si="5"/>
        <v>No</v>
      </c>
      <c r="AM12" s="2">
        <v>57.1</v>
      </c>
      <c r="AN12" s="8" t="str">
        <f t="shared" si="6"/>
        <v>No</v>
      </c>
      <c r="AO12" s="10" t="str">
        <f t="shared" si="7"/>
        <v>Yes</v>
      </c>
      <c r="AP12" s="2">
        <v>0.02</v>
      </c>
      <c r="AQ12" s="2">
        <v>0.6</v>
      </c>
      <c r="AR12" s="2">
        <v>0.02</v>
      </c>
      <c r="AS12" s="2">
        <v>0.6</v>
      </c>
      <c r="AT12" s="2">
        <v>1.1100000000000001</v>
      </c>
      <c r="AU12" s="2">
        <v>33.5</v>
      </c>
      <c r="AV12" s="10" t="str">
        <f t="shared" si="8"/>
        <v>No</v>
      </c>
      <c r="AW12" s="8" t="str">
        <f t="shared" si="9"/>
        <v>No</v>
      </c>
      <c r="AX12" s="2">
        <v>0.26</v>
      </c>
      <c r="AY12" s="2">
        <v>6.2</v>
      </c>
      <c r="AZ12" s="10" t="str">
        <f t="shared" si="10"/>
        <v>No</v>
      </c>
      <c r="BA12" s="8" t="str">
        <f t="shared" si="11"/>
        <v>No</v>
      </c>
      <c r="BB12" s="2">
        <f t="shared" si="0"/>
        <v>1.7027027027027024</v>
      </c>
      <c r="BC12" s="2">
        <f t="shared" si="12"/>
        <v>0.23423423423423423</v>
      </c>
      <c r="BD12" s="2">
        <f t="shared" si="13"/>
        <v>243.24324324324323</v>
      </c>
    </row>
    <row r="13" spans="1:56" x14ac:dyDescent="0.2">
      <c r="A13" s="2" t="s">
        <v>214</v>
      </c>
      <c r="B13" s="2">
        <v>49</v>
      </c>
      <c r="C13" s="2">
        <v>30.14</v>
      </c>
      <c r="D13" s="2">
        <v>15</v>
      </c>
      <c r="E13" s="2">
        <v>20</v>
      </c>
      <c r="F13" s="2">
        <v>5</v>
      </c>
      <c r="G13" s="2" t="s">
        <v>63</v>
      </c>
      <c r="H13" s="2">
        <v>7</v>
      </c>
      <c r="I13" s="2" t="s">
        <v>59</v>
      </c>
      <c r="J13" s="2" t="s">
        <v>131</v>
      </c>
      <c r="K13" s="2" t="s">
        <v>130</v>
      </c>
      <c r="L13" s="2" t="s">
        <v>45</v>
      </c>
      <c r="M13" s="2" t="s">
        <v>47</v>
      </c>
      <c r="N13" s="2" t="s">
        <v>52</v>
      </c>
      <c r="O13" s="2" t="s">
        <v>130</v>
      </c>
      <c r="P13" s="2" t="s">
        <v>130</v>
      </c>
      <c r="Q13" s="2" t="s">
        <v>130</v>
      </c>
      <c r="R13" s="2" t="s">
        <v>130</v>
      </c>
      <c r="S13" s="2" t="s">
        <v>130</v>
      </c>
      <c r="T13" s="2" t="s">
        <v>131</v>
      </c>
      <c r="U13" s="2" t="s">
        <v>130</v>
      </c>
      <c r="V13" s="2" t="s">
        <v>130</v>
      </c>
      <c r="W13" s="2">
        <v>146</v>
      </c>
      <c r="X13" s="8" t="str">
        <f t="shared" si="1"/>
        <v>Yes</v>
      </c>
      <c r="Y13" s="2">
        <v>4.37</v>
      </c>
      <c r="Z13" s="2">
        <v>11.7</v>
      </c>
      <c r="AA13" s="8" t="str">
        <f>IF(Z13&lt;12,"Yes","No")</f>
        <v>Yes</v>
      </c>
      <c r="AB13" s="2">
        <v>37.299999999999997</v>
      </c>
      <c r="AC13" s="2">
        <v>85.4</v>
      </c>
      <c r="AD13" s="2">
        <v>26.8</v>
      </c>
      <c r="AE13" s="2">
        <v>31.4</v>
      </c>
      <c r="AF13" s="10" t="str">
        <f t="shared" si="2"/>
        <v>No</v>
      </c>
      <c r="AG13" s="8" t="str">
        <f t="shared" si="3"/>
        <v>No</v>
      </c>
      <c r="AH13" s="2">
        <v>252</v>
      </c>
      <c r="AI13" s="2">
        <v>4.41</v>
      </c>
      <c r="AJ13" s="2">
        <v>1.87</v>
      </c>
      <c r="AK13" s="10" t="str">
        <f t="shared" si="4"/>
        <v>No</v>
      </c>
      <c r="AL13" s="8" t="str">
        <f t="shared" si="5"/>
        <v>No</v>
      </c>
      <c r="AM13" s="2">
        <v>42.3</v>
      </c>
      <c r="AN13" s="8" t="str">
        <f t="shared" si="6"/>
        <v>No</v>
      </c>
      <c r="AO13" s="10" t="str">
        <f t="shared" si="7"/>
        <v>Yes</v>
      </c>
      <c r="AP13" s="2">
        <v>0.14000000000000001</v>
      </c>
      <c r="AQ13" s="2">
        <v>3.2</v>
      </c>
      <c r="AR13" s="2">
        <v>0.03</v>
      </c>
      <c r="AS13" s="2">
        <v>0.7</v>
      </c>
      <c r="AT13" s="2">
        <v>2.0499999999999998</v>
      </c>
      <c r="AU13" s="2">
        <v>46.5</v>
      </c>
      <c r="AV13" s="10" t="str">
        <f t="shared" si="8"/>
        <v>No</v>
      </c>
      <c r="AW13" s="8" t="str">
        <f t="shared" si="9"/>
        <v>No</v>
      </c>
      <c r="AX13" s="2">
        <v>0.32</v>
      </c>
      <c r="AY13" s="2">
        <v>7.3</v>
      </c>
      <c r="AZ13" s="10" t="str">
        <f t="shared" si="10"/>
        <v>No</v>
      </c>
      <c r="BA13" s="8" t="str">
        <f t="shared" si="11"/>
        <v>No</v>
      </c>
      <c r="BB13" s="2">
        <f t="shared" si="0"/>
        <v>0.91219512195121966</v>
      </c>
      <c r="BC13" s="2">
        <f t="shared" si="12"/>
        <v>0.15609756097560978</v>
      </c>
      <c r="BD13" s="2">
        <f t="shared" si="13"/>
        <v>122.92682926829269</v>
      </c>
    </row>
    <row r="14" spans="1:56" x14ac:dyDescent="0.2">
      <c r="A14" s="2" t="s">
        <v>215</v>
      </c>
      <c r="B14" s="2">
        <v>57</v>
      </c>
      <c r="C14" s="2">
        <v>27.27</v>
      </c>
      <c r="D14" s="2">
        <v>13</v>
      </c>
      <c r="E14" s="2">
        <v>17</v>
      </c>
      <c r="F14" s="2">
        <v>5</v>
      </c>
      <c r="G14" s="2" t="s">
        <v>63</v>
      </c>
      <c r="H14" s="2">
        <v>5</v>
      </c>
      <c r="I14" s="2" t="s">
        <v>59</v>
      </c>
      <c r="J14" s="2" t="s">
        <v>130</v>
      </c>
      <c r="K14" s="2" t="s">
        <v>130</v>
      </c>
      <c r="L14" s="2" t="s">
        <v>45</v>
      </c>
      <c r="M14" s="2" t="s">
        <v>47</v>
      </c>
      <c r="N14" s="2" t="s">
        <v>55</v>
      </c>
      <c r="O14" s="2" t="s">
        <v>131</v>
      </c>
      <c r="P14" s="2" t="s">
        <v>130</v>
      </c>
      <c r="Q14" s="2" t="s">
        <v>131</v>
      </c>
      <c r="R14" s="2" t="s">
        <v>130</v>
      </c>
      <c r="S14" s="2" t="s">
        <v>130</v>
      </c>
      <c r="T14" s="2" t="s">
        <v>131</v>
      </c>
      <c r="U14" s="2" t="s">
        <v>130</v>
      </c>
      <c r="V14" s="2" t="s">
        <v>130</v>
      </c>
      <c r="W14" s="2">
        <v>3.59</v>
      </c>
      <c r="X14" s="8" t="str">
        <f t="shared" si="1"/>
        <v>No</v>
      </c>
      <c r="Y14" s="2">
        <v>4.59</v>
      </c>
      <c r="Z14" s="2">
        <v>13.3</v>
      </c>
      <c r="AA14" s="8" t="str">
        <f t="shared" ref="AA14:AA18" si="16">IF(Z14&lt;12,"Yes","No")</f>
        <v>No</v>
      </c>
      <c r="AB14" s="2">
        <v>39</v>
      </c>
      <c r="AC14" s="2">
        <v>85</v>
      </c>
      <c r="AD14" s="2">
        <v>29</v>
      </c>
      <c r="AE14" s="2">
        <v>34.1</v>
      </c>
      <c r="AF14" s="10" t="str">
        <f t="shared" si="2"/>
        <v>No</v>
      </c>
      <c r="AG14" s="8" t="str">
        <f t="shared" si="3"/>
        <v>No</v>
      </c>
      <c r="AH14" s="2">
        <v>247</v>
      </c>
      <c r="AI14" s="2">
        <v>3.67</v>
      </c>
      <c r="AJ14" s="2">
        <v>1.67</v>
      </c>
      <c r="AK14" s="10" t="str">
        <f t="shared" si="4"/>
        <v>Yes</v>
      </c>
      <c r="AL14" s="8" t="str">
        <f t="shared" si="5"/>
        <v>No</v>
      </c>
      <c r="AM14" s="2">
        <v>45.6</v>
      </c>
      <c r="AN14" s="8" t="str">
        <f t="shared" si="6"/>
        <v>No</v>
      </c>
      <c r="AO14" s="10" t="str">
        <f t="shared" si="7"/>
        <v>Yes</v>
      </c>
      <c r="AP14" s="2">
        <v>0.1</v>
      </c>
      <c r="AQ14" s="2">
        <v>2.7</v>
      </c>
      <c r="AR14" s="2">
        <v>0.03</v>
      </c>
      <c r="AS14" s="2">
        <v>0.8</v>
      </c>
      <c r="AT14" s="2">
        <v>1.62</v>
      </c>
      <c r="AU14" s="2">
        <v>44.1</v>
      </c>
      <c r="AV14" s="10" t="str">
        <f t="shared" si="8"/>
        <v>No</v>
      </c>
      <c r="AW14" s="8" t="str">
        <f t="shared" si="9"/>
        <v>No</v>
      </c>
      <c r="AX14" s="2">
        <v>0.25</v>
      </c>
      <c r="AY14" s="2">
        <v>6.8</v>
      </c>
      <c r="AZ14" s="10" t="str">
        <f t="shared" si="10"/>
        <v>No</v>
      </c>
      <c r="BA14" s="8" t="str">
        <f t="shared" si="11"/>
        <v>No</v>
      </c>
      <c r="BB14" s="2">
        <f t="shared" si="0"/>
        <v>1.0308641975308641</v>
      </c>
      <c r="BC14" s="2">
        <f t="shared" si="12"/>
        <v>0.15432098765432098</v>
      </c>
      <c r="BD14" s="2">
        <f t="shared" si="13"/>
        <v>152.46913580246914</v>
      </c>
    </row>
    <row r="15" spans="1:56" x14ac:dyDescent="0.2">
      <c r="A15" s="2" t="s">
        <v>216</v>
      </c>
      <c r="B15" s="2">
        <v>45</v>
      </c>
      <c r="C15" s="2">
        <v>28.45</v>
      </c>
      <c r="D15" s="2">
        <v>14</v>
      </c>
      <c r="E15" s="2">
        <v>21</v>
      </c>
      <c r="F15" s="2">
        <v>2</v>
      </c>
      <c r="G15" s="2" t="s">
        <v>63</v>
      </c>
      <c r="H15" s="2">
        <v>2</v>
      </c>
      <c r="I15" s="2" t="s">
        <v>59</v>
      </c>
      <c r="J15" s="2" t="s">
        <v>130</v>
      </c>
      <c r="K15" s="2" t="s">
        <v>130</v>
      </c>
      <c r="L15" s="2" t="s">
        <v>45</v>
      </c>
      <c r="M15" s="2" t="s">
        <v>46</v>
      </c>
      <c r="N15" s="2" t="s">
        <v>55</v>
      </c>
      <c r="O15" s="2" t="s">
        <v>131</v>
      </c>
      <c r="P15" s="2" t="s">
        <v>131</v>
      </c>
      <c r="Q15" s="2" t="s">
        <v>131</v>
      </c>
      <c r="R15" s="2" t="s">
        <v>130</v>
      </c>
      <c r="S15" s="2" t="s">
        <v>130</v>
      </c>
      <c r="T15" s="2" t="s">
        <v>131</v>
      </c>
      <c r="U15" s="2" t="s">
        <v>130</v>
      </c>
      <c r="V15" s="2" t="s">
        <v>130</v>
      </c>
      <c r="W15" s="2">
        <v>2.6</v>
      </c>
      <c r="X15" s="8" t="str">
        <f t="shared" si="1"/>
        <v>No</v>
      </c>
      <c r="Y15" s="2">
        <v>4.62</v>
      </c>
      <c r="Z15" s="2">
        <v>12.8</v>
      </c>
      <c r="AA15" s="8" t="str">
        <f t="shared" si="16"/>
        <v>No</v>
      </c>
      <c r="AB15" s="2">
        <v>39.6</v>
      </c>
      <c r="AC15" s="2">
        <v>85.7</v>
      </c>
      <c r="AD15" s="2">
        <v>27.7</v>
      </c>
      <c r="AE15" s="2">
        <v>32.299999999999997</v>
      </c>
      <c r="AF15" s="10" t="str">
        <f t="shared" si="2"/>
        <v>No</v>
      </c>
      <c r="AG15" s="8" t="str">
        <f t="shared" si="3"/>
        <v>No</v>
      </c>
      <c r="AH15" s="2">
        <v>278</v>
      </c>
      <c r="AI15" s="2">
        <v>4.17</v>
      </c>
      <c r="AJ15" s="2">
        <v>1.55</v>
      </c>
      <c r="AK15" s="10" t="str">
        <f t="shared" si="4"/>
        <v>No</v>
      </c>
      <c r="AL15" s="8" t="str">
        <f t="shared" si="5"/>
        <v>No</v>
      </c>
      <c r="AM15" s="2">
        <v>37.299999999999997</v>
      </c>
      <c r="AN15" s="8" t="str">
        <f t="shared" si="6"/>
        <v>No</v>
      </c>
      <c r="AO15" s="10" t="str">
        <f t="shared" si="7"/>
        <v>Yes</v>
      </c>
      <c r="AP15" s="2">
        <v>0.21</v>
      </c>
      <c r="AQ15" s="2">
        <v>5</v>
      </c>
      <c r="AR15" s="2">
        <v>0.03</v>
      </c>
      <c r="AS15" s="2">
        <v>0.7</v>
      </c>
      <c r="AT15" s="2">
        <v>2.12</v>
      </c>
      <c r="AU15" s="2">
        <v>50.8</v>
      </c>
      <c r="AV15" s="10" t="str">
        <f t="shared" si="8"/>
        <v>No</v>
      </c>
      <c r="AW15" s="8" t="str">
        <f t="shared" si="9"/>
        <v>No</v>
      </c>
      <c r="AX15" s="2">
        <v>0.26</v>
      </c>
      <c r="AY15" s="2">
        <v>6.2</v>
      </c>
      <c r="AZ15" s="10" t="str">
        <f t="shared" si="10"/>
        <v>No</v>
      </c>
      <c r="BA15" s="8" t="str">
        <f t="shared" si="11"/>
        <v>No</v>
      </c>
      <c r="BB15" s="2">
        <f t="shared" si="0"/>
        <v>0.73113207547169812</v>
      </c>
      <c r="BC15" s="2">
        <f t="shared" si="12"/>
        <v>0.12264150943396226</v>
      </c>
      <c r="BD15" s="2">
        <f t="shared" si="13"/>
        <v>131.1320754716981</v>
      </c>
    </row>
    <row r="16" spans="1:56" x14ac:dyDescent="0.2">
      <c r="A16" s="2" t="s">
        <v>217</v>
      </c>
      <c r="B16" s="2">
        <v>50</v>
      </c>
      <c r="C16" s="2">
        <v>26.91</v>
      </c>
      <c r="D16" s="2">
        <v>14</v>
      </c>
      <c r="E16" s="2">
        <v>19</v>
      </c>
      <c r="F16" s="2">
        <v>5</v>
      </c>
      <c r="G16" s="2" t="s">
        <v>63</v>
      </c>
      <c r="H16" s="2">
        <v>6</v>
      </c>
      <c r="I16" s="2" t="s">
        <v>59</v>
      </c>
      <c r="J16" s="2" t="s">
        <v>131</v>
      </c>
      <c r="K16" s="2" t="s">
        <v>130</v>
      </c>
      <c r="L16" s="2" t="s">
        <v>45</v>
      </c>
      <c r="M16" s="2" t="s">
        <v>48</v>
      </c>
      <c r="N16" s="2" t="s">
        <v>52</v>
      </c>
      <c r="O16" s="2" t="s">
        <v>131</v>
      </c>
      <c r="P16" s="2" t="s">
        <v>130</v>
      </c>
      <c r="Q16" s="2" t="s">
        <v>131</v>
      </c>
      <c r="R16" s="2" t="s">
        <v>130</v>
      </c>
      <c r="S16" s="2" t="s">
        <v>130</v>
      </c>
      <c r="T16" s="2" t="s">
        <v>131</v>
      </c>
      <c r="U16" s="2" t="s">
        <v>130</v>
      </c>
      <c r="V16" s="2" t="s">
        <v>130</v>
      </c>
      <c r="W16" s="2">
        <v>41.5</v>
      </c>
      <c r="X16" s="8" t="str">
        <f t="shared" si="1"/>
        <v>Yes</v>
      </c>
      <c r="Y16" s="2">
        <v>5.22</v>
      </c>
      <c r="Z16" s="2">
        <v>12.9</v>
      </c>
      <c r="AA16" s="8" t="str">
        <f t="shared" si="16"/>
        <v>No</v>
      </c>
      <c r="AB16" s="2">
        <v>42.6</v>
      </c>
      <c r="AC16" s="2">
        <v>81.599999999999994</v>
      </c>
      <c r="AD16" s="2">
        <v>24.7</v>
      </c>
      <c r="AE16" s="2">
        <v>30.3</v>
      </c>
      <c r="AF16" s="10" t="str">
        <f t="shared" si="2"/>
        <v>No</v>
      </c>
      <c r="AG16" s="8" t="str">
        <f t="shared" si="3"/>
        <v>No</v>
      </c>
      <c r="AH16" s="2">
        <v>237</v>
      </c>
      <c r="AI16" s="2">
        <v>5.55</v>
      </c>
      <c r="AJ16" s="2">
        <v>2.9</v>
      </c>
      <c r="AK16" s="10" t="str">
        <f t="shared" si="4"/>
        <v>No</v>
      </c>
      <c r="AL16" s="8" t="str">
        <f t="shared" si="5"/>
        <v>No</v>
      </c>
      <c r="AM16" s="2">
        <v>52.3</v>
      </c>
      <c r="AN16" s="8" t="str">
        <f t="shared" si="6"/>
        <v>No</v>
      </c>
      <c r="AO16" s="10" t="str">
        <f t="shared" si="7"/>
        <v>No</v>
      </c>
      <c r="AP16" s="2">
        <v>0.2</v>
      </c>
      <c r="AQ16" s="2">
        <v>3.6</v>
      </c>
      <c r="AR16" s="2">
        <v>0.03</v>
      </c>
      <c r="AS16" s="2">
        <v>0.5</v>
      </c>
      <c r="AT16" s="2">
        <v>1.92</v>
      </c>
      <c r="AU16" s="2">
        <v>34.6</v>
      </c>
      <c r="AV16" s="10" t="str">
        <f t="shared" si="8"/>
        <v>No</v>
      </c>
      <c r="AW16" s="8" t="str">
        <f t="shared" si="9"/>
        <v>No</v>
      </c>
      <c r="AX16" s="2">
        <v>0.5</v>
      </c>
      <c r="AY16" s="2">
        <v>9</v>
      </c>
      <c r="AZ16" s="10" t="str">
        <f t="shared" si="10"/>
        <v>No</v>
      </c>
      <c r="BA16" s="8" t="str">
        <f t="shared" si="11"/>
        <v>No</v>
      </c>
      <c r="BB16" s="2">
        <f t="shared" si="0"/>
        <v>1.5104166666666667</v>
      </c>
      <c r="BC16" s="2">
        <f t="shared" si="12"/>
        <v>0.26041666666666669</v>
      </c>
      <c r="BD16" s="2">
        <f t="shared" si="13"/>
        <v>123.4375</v>
      </c>
    </row>
    <row r="17" spans="1:56" x14ac:dyDescent="0.2">
      <c r="A17" s="2" t="s">
        <v>218</v>
      </c>
      <c r="B17" s="2">
        <v>44</v>
      </c>
      <c r="C17" s="2">
        <v>18.88</v>
      </c>
      <c r="D17" s="2">
        <v>14</v>
      </c>
      <c r="E17" s="2">
        <v>20</v>
      </c>
      <c r="F17" s="2">
        <v>1</v>
      </c>
      <c r="G17" s="2" t="s">
        <v>62</v>
      </c>
      <c r="H17" s="2">
        <v>3</v>
      </c>
      <c r="I17" s="2" t="s">
        <v>59</v>
      </c>
      <c r="J17" s="2" t="s">
        <v>131</v>
      </c>
      <c r="K17" s="2" t="s">
        <v>130</v>
      </c>
      <c r="L17" s="2" t="s">
        <v>45</v>
      </c>
      <c r="M17" s="2" t="s">
        <v>47</v>
      </c>
      <c r="N17" s="2" t="s">
        <v>52</v>
      </c>
      <c r="O17" s="2" t="s">
        <v>130</v>
      </c>
      <c r="P17" s="2" t="s">
        <v>131</v>
      </c>
      <c r="Q17" s="2" t="s">
        <v>131</v>
      </c>
      <c r="R17" s="2" t="s">
        <v>130</v>
      </c>
      <c r="S17" s="2" t="s">
        <v>130</v>
      </c>
      <c r="T17" s="2" t="s">
        <v>131</v>
      </c>
      <c r="U17" s="2" t="s">
        <v>130</v>
      </c>
      <c r="V17" s="2" t="s">
        <v>130</v>
      </c>
      <c r="W17" s="2">
        <v>7.1</v>
      </c>
      <c r="X17" s="8" t="str">
        <f t="shared" si="1"/>
        <v>Yes</v>
      </c>
      <c r="Y17" s="2">
        <v>4.74</v>
      </c>
      <c r="Z17" s="2">
        <v>12.3</v>
      </c>
      <c r="AA17" s="8" t="str">
        <f t="shared" si="16"/>
        <v>No</v>
      </c>
      <c r="AB17" s="2">
        <v>38.9</v>
      </c>
      <c r="AC17" s="2">
        <v>82.1</v>
      </c>
      <c r="AD17" s="2">
        <v>25.9</v>
      </c>
      <c r="AE17" s="2">
        <v>31.6</v>
      </c>
      <c r="AF17" s="10" t="str">
        <f t="shared" si="2"/>
        <v>No</v>
      </c>
      <c r="AG17" s="8" t="str">
        <f t="shared" si="3"/>
        <v>No</v>
      </c>
      <c r="AH17" s="2">
        <v>382</v>
      </c>
      <c r="AI17" s="2">
        <v>5.7</v>
      </c>
      <c r="AJ17" s="2">
        <v>2.99</v>
      </c>
      <c r="AK17" s="10" t="str">
        <f t="shared" si="4"/>
        <v>No</v>
      </c>
      <c r="AL17" s="8" t="str">
        <f t="shared" si="5"/>
        <v>No</v>
      </c>
      <c r="AM17" s="2">
        <v>52.6</v>
      </c>
      <c r="AN17" s="8" t="str">
        <f t="shared" si="6"/>
        <v>No</v>
      </c>
      <c r="AO17" s="10" t="str">
        <f t="shared" si="7"/>
        <v>No</v>
      </c>
      <c r="AP17" s="2">
        <v>0.03</v>
      </c>
      <c r="AQ17" s="2">
        <v>0.5</v>
      </c>
      <c r="AR17" s="2">
        <v>0.03</v>
      </c>
      <c r="AS17" s="2">
        <v>0.5</v>
      </c>
      <c r="AT17" s="2">
        <v>2.14</v>
      </c>
      <c r="AU17" s="2">
        <v>37.5</v>
      </c>
      <c r="AV17" s="10" t="str">
        <f t="shared" si="8"/>
        <v>No</v>
      </c>
      <c r="AW17" s="8" t="str">
        <f t="shared" si="9"/>
        <v>No</v>
      </c>
      <c r="AX17" s="2">
        <v>0.51</v>
      </c>
      <c r="AY17" s="2">
        <v>8.9</v>
      </c>
      <c r="AZ17" s="10" t="str">
        <f t="shared" si="10"/>
        <v>No</v>
      </c>
      <c r="BA17" s="8" t="str">
        <f t="shared" si="11"/>
        <v>No</v>
      </c>
      <c r="BB17" s="2">
        <f t="shared" si="0"/>
        <v>1.3971962616822431</v>
      </c>
      <c r="BC17" s="2">
        <f t="shared" si="12"/>
        <v>0.23831775700934579</v>
      </c>
      <c r="BD17" s="2">
        <f t="shared" si="13"/>
        <v>178.50467289719626</v>
      </c>
    </row>
    <row r="18" spans="1:56" x14ac:dyDescent="0.2">
      <c r="A18" s="2" t="s">
        <v>219</v>
      </c>
      <c r="B18" s="2">
        <v>58</v>
      </c>
      <c r="C18" s="2">
        <v>23.19</v>
      </c>
      <c r="D18" s="2">
        <v>13</v>
      </c>
      <c r="E18" s="2">
        <v>21</v>
      </c>
      <c r="F18" s="2">
        <v>1</v>
      </c>
      <c r="G18" s="2" t="s">
        <v>62</v>
      </c>
      <c r="H18" s="2">
        <v>1</v>
      </c>
      <c r="I18" s="2" t="s">
        <v>60</v>
      </c>
      <c r="J18" s="2" t="s">
        <v>130</v>
      </c>
      <c r="K18" s="2" t="s">
        <v>130</v>
      </c>
      <c r="L18" s="2" t="s">
        <v>45</v>
      </c>
      <c r="M18" s="2" t="s">
        <v>48</v>
      </c>
      <c r="N18" s="2" t="s">
        <v>54</v>
      </c>
      <c r="O18" s="2" t="s">
        <v>131</v>
      </c>
      <c r="P18" s="2" t="s">
        <v>130</v>
      </c>
      <c r="Q18" s="2" t="s">
        <v>130</v>
      </c>
      <c r="R18" s="2" t="s">
        <v>130</v>
      </c>
      <c r="S18" s="2" t="s">
        <v>130</v>
      </c>
      <c r="T18" s="2" t="s">
        <v>131</v>
      </c>
      <c r="U18" s="2" t="s">
        <v>130</v>
      </c>
      <c r="V18" s="2" t="s">
        <v>130</v>
      </c>
      <c r="W18" s="2">
        <v>1.3</v>
      </c>
      <c r="X18" s="8" t="str">
        <f t="shared" si="1"/>
        <v>No</v>
      </c>
      <c r="Y18" s="2">
        <v>4.54</v>
      </c>
      <c r="Z18" s="2">
        <v>13.4</v>
      </c>
      <c r="AA18" s="8" t="str">
        <f t="shared" si="16"/>
        <v>No</v>
      </c>
      <c r="AB18" s="2">
        <v>42.2</v>
      </c>
      <c r="AC18" s="2">
        <v>93</v>
      </c>
      <c r="AD18" s="2">
        <v>29.5</v>
      </c>
      <c r="AE18" s="2">
        <v>31.8</v>
      </c>
      <c r="AF18" s="10" t="str">
        <f t="shared" si="2"/>
        <v>No</v>
      </c>
      <c r="AG18" s="8" t="str">
        <f t="shared" si="3"/>
        <v>No</v>
      </c>
      <c r="AH18" s="2">
        <v>300</v>
      </c>
      <c r="AI18" s="2">
        <v>5.55</v>
      </c>
      <c r="AJ18" s="2">
        <v>1.41</v>
      </c>
      <c r="AK18" s="10" t="str">
        <f t="shared" si="4"/>
        <v>No</v>
      </c>
      <c r="AL18" s="8" t="str">
        <f t="shared" si="5"/>
        <v>No</v>
      </c>
      <c r="AM18" s="2">
        <v>25.4</v>
      </c>
      <c r="AN18" s="8" t="str">
        <f t="shared" si="6"/>
        <v>No</v>
      </c>
      <c r="AO18" s="10" t="str">
        <f t="shared" si="7"/>
        <v>Yes</v>
      </c>
      <c r="AP18" s="2">
        <v>0.16</v>
      </c>
      <c r="AQ18" s="2">
        <v>2.9</v>
      </c>
      <c r="AR18" s="2">
        <v>0.02</v>
      </c>
      <c r="AS18" s="2">
        <v>0.4</v>
      </c>
      <c r="AT18" s="2">
        <v>3.53</v>
      </c>
      <c r="AU18" s="2">
        <v>63.6</v>
      </c>
      <c r="AV18" s="10" t="str">
        <f t="shared" si="8"/>
        <v>No</v>
      </c>
      <c r="AW18" s="8" t="str">
        <f t="shared" si="9"/>
        <v>No</v>
      </c>
      <c r="AX18" s="2">
        <v>0.43</v>
      </c>
      <c r="AY18" s="2">
        <v>7.7</v>
      </c>
      <c r="AZ18" s="10" t="str">
        <f t="shared" si="10"/>
        <v>No</v>
      </c>
      <c r="BA18" s="8" t="str">
        <f t="shared" si="11"/>
        <v>No</v>
      </c>
      <c r="BB18" s="2">
        <f t="shared" si="0"/>
        <v>0.39943342776203966</v>
      </c>
      <c r="BC18" s="2">
        <f t="shared" si="12"/>
        <v>0.12181303116147309</v>
      </c>
      <c r="BD18" s="2">
        <f t="shared" si="13"/>
        <v>84.985835694050991</v>
      </c>
    </row>
    <row r="19" spans="1:56" x14ac:dyDescent="0.2">
      <c r="A19" s="2" t="s">
        <v>220</v>
      </c>
      <c r="B19" s="2">
        <v>44</v>
      </c>
      <c r="C19" s="2">
        <v>25.82</v>
      </c>
      <c r="D19" s="2">
        <v>14</v>
      </c>
      <c r="E19" s="2">
        <v>20</v>
      </c>
      <c r="F19" s="2">
        <v>3</v>
      </c>
      <c r="G19" s="2" t="s">
        <v>63</v>
      </c>
      <c r="H19" s="2">
        <v>5</v>
      </c>
      <c r="I19" s="2" t="s">
        <v>59</v>
      </c>
      <c r="J19" s="2" t="s">
        <v>131</v>
      </c>
      <c r="K19" s="2" t="s">
        <v>130</v>
      </c>
      <c r="L19" s="2" t="s">
        <v>45</v>
      </c>
      <c r="M19" s="2" t="s">
        <v>48</v>
      </c>
      <c r="N19" s="2" t="s">
        <v>55</v>
      </c>
      <c r="O19" s="2" t="s">
        <v>131</v>
      </c>
      <c r="P19" s="2" t="s">
        <v>130</v>
      </c>
      <c r="Q19" s="2" t="s">
        <v>130</v>
      </c>
      <c r="R19" s="2" t="s">
        <v>130</v>
      </c>
      <c r="S19" s="2" t="s">
        <v>130</v>
      </c>
      <c r="T19" s="2" t="s">
        <v>131</v>
      </c>
      <c r="U19" s="2" t="s">
        <v>130</v>
      </c>
      <c r="V19" s="2" t="s">
        <v>130</v>
      </c>
      <c r="W19" s="2">
        <v>2.6</v>
      </c>
      <c r="X19" s="8" t="str">
        <f t="shared" si="1"/>
        <v>No</v>
      </c>
      <c r="Y19" s="2">
        <v>4.2</v>
      </c>
      <c r="Z19" s="2">
        <v>10.9</v>
      </c>
      <c r="AA19" s="8" t="str">
        <f>IF(Z19&lt;12,"Yes","No")</f>
        <v>Yes</v>
      </c>
      <c r="AB19" s="2">
        <v>35</v>
      </c>
      <c r="AC19" s="2">
        <v>83.3</v>
      </c>
      <c r="AD19" s="2">
        <v>26</v>
      </c>
      <c r="AE19" s="2">
        <v>31.1</v>
      </c>
      <c r="AF19" s="10" t="str">
        <f t="shared" si="2"/>
        <v>No</v>
      </c>
      <c r="AG19" s="8" t="str">
        <f t="shared" si="3"/>
        <v>No</v>
      </c>
      <c r="AH19" s="2">
        <v>309</v>
      </c>
      <c r="AI19" s="2">
        <v>3.19</v>
      </c>
      <c r="AJ19" s="2">
        <v>1.1499999999999999</v>
      </c>
      <c r="AK19" s="10" t="str">
        <f t="shared" si="4"/>
        <v>Yes</v>
      </c>
      <c r="AL19" s="8" t="str">
        <f t="shared" si="5"/>
        <v>No</v>
      </c>
      <c r="AM19" s="2">
        <v>36.1</v>
      </c>
      <c r="AN19" s="8" t="str">
        <f t="shared" si="6"/>
        <v>No</v>
      </c>
      <c r="AO19" s="10" t="str">
        <f t="shared" si="7"/>
        <v>Yes</v>
      </c>
      <c r="AP19" s="2">
        <v>0.02</v>
      </c>
      <c r="AQ19" s="2">
        <v>0.6</v>
      </c>
      <c r="AR19" s="2">
        <v>0.02</v>
      </c>
      <c r="AS19" s="2">
        <v>0.6</v>
      </c>
      <c r="AT19" s="2">
        <v>1.75</v>
      </c>
      <c r="AU19" s="2">
        <v>54.9</v>
      </c>
      <c r="AV19" s="10" t="str">
        <f t="shared" si="8"/>
        <v>No</v>
      </c>
      <c r="AW19" s="8" t="str">
        <f t="shared" si="9"/>
        <v>No</v>
      </c>
      <c r="AX19" s="2">
        <v>0.25</v>
      </c>
      <c r="AY19" s="2">
        <v>7.8</v>
      </c>
      <c r="AZ19" s="10" t="str">
        <f t="shared" si="10"/>
        <v>No</v>
      </c>
      <c r="BA19" s="8" t="str">
        <f t="shared" si="11"/>
        <v>No</v>
      </c>
      <c r="BB19" s="2">
        <f t="shared" si="0"/>
        <v>0.65714285714285714</v>
      </c>
      <c r="BC19" s="2">
        <f t="shared" si="12"/>
        <v>0.14285714285714285</v>
      </c>
      <c r="BD19" s="2">
        <f t="shared" si="13"/>
        <v>176.57142857142858</v>
      </c>
    </row>
    <row r="20" spans="1:56" x14ac:dyDescent="0.2">
      <c r="A20" s="2" t="s">
        <v>221</v>
      </c>
      <c r="B20" s="2">
        <v>42</v>
      </c>
      <c r="C20" s="2">
        <v>27.77</v>
      </c>
      <c r="D20" s="2">
        <v>16</v>
      </c>
      <c r="E20" s="2">
        <v>18</v>
      </c>
      <c r="F20" s="2">
        <v>7</v>
      </c>
      <c r="G20" s="2" t="s">
        <v>63</v>
      </c>
      <c r="H20" s="2">
        <v>7</v>
      </c>
      <c r="I20" s="2" t="s">
        <v>59</v>
      </c>
      <c r="J20" s="2" t="s">
        <v>130</v>
      </c>
      <c r="K20" s="2" t="s">
        <v>130</v>
      </c>
      <c r="L20" s="2" t="s">
        <v>45</v>
      </c>
      <c r="M20" s="2" t="s">
        <v>48</v>
      </c>
      <c r="N20" s="2" t="s">
        <v>55</v>
      </c>
      <c r="O20" s="2" t="s">
        <v>131</v>
      </c>
      <c r="P20" s="2" t="s">
        <v>130</v>
      </c>
      <c r="Q20" s="2" t="s">
        <v>131</v>
      </c>
      <c r="R20" s="2" t="s">
        <v>130</v>
      </c>
      <c r="S20" s="2" t="s">
        <v>130</v>
      </c>
      <c r="T20" s="2" t="s">
        <v>131</v>
      </c>
      <c r="U20" s="2" t="s">
        <v>130</v>
      </c>
      <c r="V20" s="2" t="s">
        <v>130</v>
      </c>
      <c r="W20" s="2">
        <v>2.9</v>
      </c>
      <c r="X20" s="8" t="str">
        <f t="shared" si="1"/>
        <v>No</v>
      </c>
      <c r="Y20" s="2">
        <v>5.2</v>
      </c>
      <c r="Z20" s="2">
        <v>14.7</v>
      </c>
      <c r="AA20" s="8" t="str">
        <f t="shared" ref="AA20:AA21" si="17">IF(Z20&lt;12,"Yes","No")</f>
        <v>No</v>
      </c>
      <c r="AB20" s="2">
        <v>42.7</v>
      </c>
      <c r="AC20" s="2">
        <v>82.1</v>
      </c>
      <c r="AD20" s="2">
        <v>28.3</v>
      </c>
      <c r="AE20" s="2">
        <v>34.4</v>
      </c>
      <c r="AF20" s="10" t="str">
        <f t="shared" si="2"/>
        <v>No</v>
      </c>
      <c r="AG20" s="8" t="str">
        <f t="shared" si="3"/>
        <v>No</v>
      </c>
      <c r="AH20" s="2">
        <v>210</v>
      </c>
      <c r="AI20" s="2">
        <v>4.08</v>
      </c>
      <c r="AJ20" s="2">
        <v>1.84</v>
      </c>
      <c r="AK20" s="10" t="str">
        <f t="shared" si="4"/>
        <v>No</v>
      </c>
      <c r="AL20" s="8" t="str">
        <f t="shared" si="5"/>
        <v>No</v>
      </c>
      <c r="AM20" s="2">
        <v>45.1</v>
      </c>
      <c r="AN20" s="8" t="str">
        <f t="shared" si="6"/>
        <v>No</v>
      </c>
      <c r="AO20" s="10" t="str">
        <f t="shared" si="7"/>
        <v>Yes</v>
      </c>
      <c r="AP20" s="2">
        <v>0.09</v>
      </c>
      <c r="AQ20" s="2">
        <v>2.2000000000000002</v>
      </c>
      <c r="AR20" s="2">
        <v>0.05</v>
      </c>
      <c r="AS20" s="2">
        <v>1.2</v>
      </c>
      <c r="AT20" s="2">
        <v>1.71</v>
      </c>
      <c r="AU20" s="2">
        <v>41.9</v>
      </c>
      <c r="AV20" s="10" t="str">
        <f t="shared" si="8"/>
        <v>No</v>
      </c>
      <c r="AW20" s="8" t="str">
        <f t="shared" si="9"/>
        <v>No</v>
      </c>
      <c r="AX20" s="2">
        <v>0.39</v>
      </c>
      <c r="AY20" s="2">
        <v>9.6</v>
      </c>
      <c r="AZ20" s="10" t="str">
        <f t="shared" si="10"/>
        <v>No</v>
      </c>
      <c r="BA20" s="8" t="str">
        <f t="shared" si="11"/>
        <v>No</v>
      </c>
      <c r="BB20" s="2">
        <f t="shared" si="0"/>
        <v>1.0760233918128657</v>
      </c>
      <c r="BC20" s="2">
        <f t="shared" si="12"/>
        <v>0.22807017543859651</v>
      </c>
      <c r="BD20" s="2">
        <f t="shared" si="13"/>
        <v>122.80701754385966</v>
      </c>
    </row>
    <row r="21" spans="1:56" x14ac:dyDescent="0.2">
      <c r="A21" s="2" t="s">
        <v>222</v>
      </c>
      <c r="B21" s="2">
        <v>56</v>
      </c>
      <c r="C21" s="2">
        <v>25.95</v>
      </c>
      <c r="D21" s="2">
        <v>17</v>
      </c>
      <c r="E21" s="2">
        <v>21</v>
      </c>
      <c r="F21" s="2">
        <v>0</v>
      </c>
      <c r="G21" s="2" t="s">
        <v>64</v>
      </c>
      <c r="H21" s="2">
        <v>0</v>
      </c>
      <c r="I21" s="2" t="s">
        <v>61</v>
      </c>
      <c r="J21" s="2" t="s">
        <v>130</v>
      </c>
      <c r="K21" s="2" t="s">
        <v>130</v>
      </c>
      <c r="L21" s="2" t="s">
        <v>45</v>
      </c>
      <c r="M21" s="2" t="s">
        <v>47</v>
      </c>
      <c r="N21" s="2" t="s">
        <v>52</v>
      </c>
      <c r="O21" s="2" t="s">
        <v>131</v>
      </c>
      <c r="P21" s="2" t="s">
        <v>130</v>
      </c>
      <c r="Q21" s="2" t="s">
        <v>130</v>
      </c>
      <c r="R21" s="2" t="s">
        <v>130</v>
      </c>
      <c r="S21" s="2" t="s">
        <v>130</v>
      </c>
      <c r="T21" s="2" t="s">
        <v>131</v>
      </c>
      <c r="U21" s="2" t="s">
        <v>130</v>
      </c>
      <c r="V21" s="2" t="s">
        <v>130</v>
      </c>
      <c r="W21" s="2">
        <v>6.2</v>
      </c>
      <c r="X21" s="8" t="str">
        <f t="shared" si="1"/>
        <v>Yes</v>
      </c>
      <c r="Y21" s="2">
        <v>4.7699999999999996</v>
      </c>
      <c r="Z21" s="2">
        <v>13.2</v>
      </c>
      <c r="AA21" s="8" t="str">
        <f t="shared" si="17"/>
        <v>No</v>
      </c>
      <c r="AB21" s="2">
        <v>40.5</v>
      </c>
      <c r="AC21" s="2">
        <v>84.9</v>
      </c>
      <c r="AD21" s="2">
        <v>27.7</v>
      </c>
      <c r="AE21" s="2">
        <v>32.6</v>
      </c>
      <c r="AF21" s="10" t="str">
        <f t="shared" si="2"/>
        <v>No</v>
      </c>
      <c r="AG21" s="8" t="str">
        <f t="shared" si="3"/>
        <v>No</v>
      </c>
      <c r="AH21" s="2">
        <v>353</v>
      </c>
      <c r="AI21" s="2">
        <v>4.3600000000000003</v>
      </c>
      <c r="AJ21" s="2">
        <v>2.23</v>
      </c>
      <c r="AK21" s="10" t="str">
        <f t="shared" si="4"/>
        <v>No</v>
      </c>
      <c r="AL21" s="8" t="str">
        <f t="shared" si="5"/>
        <v>No</v>
      </c>
      <c r="AM21" s="2">
        <v>51.1</v>
      </c>
      <c r="AN21" s="8" t="str">
        <f t="shared" si="6"/>
        <v>No</v>
      </c>
      <c r="AO21" s="10" t="str">
        <f t="shared" si="7"/>
        <v>No</v>
      </c>
      <c r="AP21" s="2">
        <v>0.16</v>
      </c>
      <c r="AQ21" s="2">
        <v>3.7</v>
      </c>
      <c r="AR21" s="2">
        <v>0.03</v>
      </c>
      <c r="AS21" s="2">
        <v>0.7</v>
      </c>
      <c r="AT21" s="2">
        <v>1.63</v>
      </c>
      <c r="AU21" s="2">
        <v>37.4</v>
      </c>
      <c r="AV21" s="10" t="str">
        <f t="shared" si="8"/>
        <v>No</v>
      </c>
      <c r="AW21" s="8" t="str">
        <f t="shared" si="9"/>
        <v>No</v>
      </c>
      <c r="AX21" s="2">
        <v>0.31</v>
      </c>
      <c r="AY21" s="2">
        <v>7.1</v>
      </c>
      <c r="AZ21" s="10" t="str">
        <f t="shared" si="10"/>
        <v>No</v>
      </c>
      <c r="BA21" s="8" t="str">
        <f t="shared" si="11"/>
        <v>No</v>
      </c>
      <c r="BB21" s="2">
        <f t="shared" si="0"/>
        <v>1.3680981595092025</v>
      </c>
      <c r="BC21" s="2">
        <f t="shared" si="12"/>
        <v>0.19018404907975461</v>
      </c>
      <c r="BD21" s="2">
        <f t="shared" si="13"/>
        <v>216.56441717791412</v>
      </c>
    </row>
    <row r="22" spans="1:56" x14ac:dyDescent="0.2">
      <c r="A22" s="2" t="s">
        <v>223</v>
      </c>
      <c r="B22" s="2">
        <v>50</v>
      </c>
      <c r="C22" s="2">
        <v>26.12</v>
      </c>
      <c r="D22" s="2">
        <v>16</v>
      </c>
      <c r="E22" s="2">
        <v>31</v>
      </c>
      <c r="F22" s="2">
        <v>3</v>
      </c>
      <c r="G22" s="2" t="s">
        <v>63</v>
      </c>
      <c r="H22" s="2">
        <v>6</v>
      </c>
      <c r="I22" s="2" t="s">
        <v>59</v>
      </c>
      <c r="J22" s="2" t="s">
        <v>131</v>
      </c>
      <c r="K22" s="2" t="s">
        <v>130</v>
      </c>
      <c r="L22" s="4" t="s">
        <v>75</v>
      </c>
      <c r="M22" s="4" t="s">
        <v>49</v>
      </c>
      <c r="N22" s="2" t="s">
        <v>89</v>
      </c>
      <c r="O22" s="2" t="s">
        <v>131</v>
      </c>
      <c r="P22" s="2" t="s">
        <v>131</v>
      </c>
      <c r="Q22" s="2" t="s">
        <v>131</v>
      </c>
      <c r="R22" s="2" t="s">
        <v>130</v>
      </c>
      <c r="S22" s="2" t="s">
        <v>130</v>
      </c>
      <c r="T22" s="2" t="s">
        <v>131</v>
      </c>
      <c r="U22" s="2" t="s">
        <v>130</v>
      </c>
      <c r="V22" s="2" t="s">
        <v>130</v>
      </c>
      <c r="W22" s="2">
        <v>0.3</v>
      </c>
      <c r="X22" s="8" t="str">
        <f t="shared" si="1"/>
        <v>No</v>
      </c>
      <c r="Y22" s="2">
        <v>3.9</v>
      </c>
      <c r="Z22" s="2">
        <v>11.6</v>
      </c>
      <c r="AA22" s="8" t="str">
        <f>IF(Z22&lt;12,"Yes","No")</f>
        <v>Yes</v>
      </c>
      <c r="AB22" s="2">
        <v>36.200000000000003</v>
      </c>
      <c r="AC22" s="2">
        <v>92.8</v>
      </c>
      <c r="AD22" s="2">
        <v>29.7</v>
      </c>
      <c r="AE22" s="2">
        <v>32</v>
      </c>
      <c r="AF22" s="10" t="str">
        <f t="shared" si="2"/>
        <v>No</v>
      </c>
      <c r="AG22" s="8" t="str">
        <f t="shared" si="3"/>
        <v>No</v>
      </c>
      <c r="AH22" s="2">
        <v>237</v>
      </c>
      <c r="AI22" s="2">
        <v>2.76</v>
      </c>
      <c r="AJ22" s="2">
        <v>1.18</v>
      </c>
      <c r="AK22" s="10" t="str">
        <f t="shared" si="4"/>
        <v>Yes</v>
      </c>
      <c r="AL22" s="8" t="str">
        <f t="shared" si="5"/>
        <v>No</v>
      </c>
      <c r="AM22" s="2">
        <v>42.8</v>
      </c>
      <c r="AN22" s="8" t="str">
        <f t="shared" si="6"/>
        <v>No</v>
      </c>
      <c r="AO22" s="10" t="str">
        <f t="shared" si="7"/>
        <v>Yes</v>
      </c>
      <c r="AP22" s="2">
        <v>0.1</v>
      </c>
      <c r="AQ22" s="2">
        <v>3.6</v>
      </c>
      <c r="AR22" s="2">
        <v>0.04</v>
      </c>
      <c r="AS22" s="2">
        <v>1.4</v>
      </c>
      <c r="AT22" s="2">
        <v>1.1499999999999999</v>
      </c>
      <c r="AU22" s="2">
        <v>41.7</v>
      </c>
      <c r="AV22" s="10" t="str">
        <f t="shared" si="8"/>
        <v>No</v>
      </c>
      <c r="AW22" s="8" t="str">
        <f t="shared" si="9"/>
        <v>No</v>
      </c>
      <c r="AX22" s="2">
        <v>0.28999999999999998</v>
      </c>
      <c r="AY22" s="2">
        <v>10.5</v>
      </c>
      <c r="AZ22" s="10" t="str">
        <f t="shared" si="10"/>
        <v>No</v>
      </c>
      <c r="BA22" s="8" t="str">
        <f t="shared" si="11"/>
        <v>No</v>
      </c>
      <c r="BB22" s="2">
        <f t="shared" si="0"/>
        <v>1.0260869565217392</v>
      </c>
      <c r="BC22" s="2">
        <f t="shared" si="12"/>
        <v>0.25217391304347825</v>
      </c>
      <c r="BD22" s="2">
        <f t="shared" si="13"/>
        <v>206.08695652173915</v>
      </c>
    </row>
    <row r="23" spans="1:56" x14ac:dyDescent="0.2">
      <c r="A23" s="2" t="s">
        <v>224</v>
      </c>
      <c r="B23" s="2">
        <v>44</v>
      </c>
      <c r="C23" s="2">
        <v>22.77</v>
      </c>
      <c r="D23" s="2">
        <v>14</v>
      </c>
      <c r="E23" s="2">
        <v>21</v>
      </c>
      <c r="F23" s="2">
        <v>2</v>
      </c>
      <c r="G23" s="2" t="s">
        <v>63</v>
      </c>
      <c r="H23" s="2">
        <v>2</v>
      </c>
      <c r="I23" s="2" t="s">
        <v>59</v>
      </c>
      <c r="J23" s="2" t="s">
        <v>130</v>
      </c>
      <c r="K23" s="2" t="s">
        <v>130</v>
      </c>
      <c r="L23" s="2" t="s">
        <v>45</v>
      </c>
      <c r="M23" s="2" t="s">
        <v>48</v>
      </c>
      <c r="N23" s="2" t="s">
        <v>52</v>
      </c>
      <c r="O23" s="2" t="s">
        <v>131</v>
      </c>
      <c r="P23" s="2" t="s">
        <v>131</v>
      </c>
      <c r="Q23" s="2" t="s">
        <v>130</v>
      </c>
      <c r="R23" s="2" t="s">
        <v>130</v>
      </c>
      <c r="S23" s="2" t="s">
        <v>130</v>
      </c>
      <c r="T23" s="2" t="s">
        <v>131</v>
      </c>
      <c r="U23" s="2" t="s">
        <v>130</v>
      </c>
      <c r="V23" s="2" t="s">
        <v>130</v>
      </c>
      <c r="W23" s="2">
        <v>4.7699999999999996</v>
      </c>
      <c r="X23" s="8" t="str">
        <f t="shared" si="1"/>
        <v>No</v>
      </c>
      <c r="Y23" s="2">
        <v>4.7699999999999996</v>
      </c>
      <c r="Z23" s="2">
        <v>13.2</v>
      </c>
      <c r="AA23" s="8" t="str">
        <f>IF(Z23&lt;12,"Yes","No")</f>
        <v>No</v>
      </c>
      <c r="AB23" s="2">
        <v>40.5</v>
      </c>
      <c r="AC23" s="2">
        <v>84.9</v>
      </c>
      <c r="AD23" s="2">
        <v>27.7</v>
      </c>
      <c r="AE23" s="2">
        <v>32.6</v>
      </c>
      <c r="AF23" s="10" t="str">
        <f t="shared" si="2"/>
        <v>No</v>
      </c>
      <c r="AG23" s="8" t="str">
        <f t="shared" si="3"/>
        <v>No</v>
      </c>
      <c r="AH23" s="2">
        <v>353</v>
      </c>
      <c r="AI23" s="2">
        <v>4.3600000000000003</v>
      </c>
      <c r="AJ23" s="2">
        <v>2.23</v>
      </c>
      <c r="AK23" s="10" t="str">
        <f t="shared" si="4"/>
        <v>No</v>
      </c>
      <c r="AL23" s="8" t="str">
        <f t="shared" si="5"/>
        <v>No</v>
      </c>
      <c r="AM23" s="2">
        <v>51.1</v>
      </c>
      <c r="AN23" s="8" t="str">
        <f t="shared" si="6"/>
        <v>No</v>
      </c>
      <c r="AO23" s="10" t="str">
        <f t="shared" si="7"/>
        <v>No</v>
      </c>
      <c r="AP23" s="2">
        <v>0.16</v>
      </c>
      <c r="AQ23" s="2">
        <v>3.7</v>
      </c>
      <c r="AR23" s="2">
        <v>0.03</v>
      </c>
      <c r="AS23" s="2">
        <v>0.7</v>
      </c>
      <c r="AT23" s="2">
        <v>1.63</v>
      </c>
      <c r="AU23" s="2">
        <v>37.4</v>
      </c>
      <c r="AV23" s="10" t="str">
        <f t="shared" si="8"/>
        <v>No</v>
      </c>
      <c r="AW23" s="8" t="str">
        <f t="shared" si="9"/>
        <v>No</v>
      </c>
      <c r="AX23" s="2">
        <v>0.31</v>
      </c>
      <c r="AY23" s="2">
        <v>7.1</v>
      </c>
      <c r="AZ23" s="10" t="str">
        <f t="shared" si="10"/>
        <v>No</v>
      </c>
      <c r="BA23" s="8" t="str">
        <f t="shared" si="11"/>
        <v>No</v>
      </c>
      <c r="BB23" s="2">
        <f t="shared" si="0"/>
        <v>1.3680981595092025</v>
      </c>
      <c r="BC23" s="2">
        <f t="shared" si="12"/>
        <v>0.19018404907975461</v>
      </c>
      <c r="BD23" s="2">
        <f t="shared" si="13"/>
        <v>216.56441717791412</v>
      </c>
    </row>
    <row r="24" spans="1:56" x14ac:dyDescent="0.2">
      <c r="A24" s="2" t="s">
        <v>225</v>
      </c>
      <c r="B24" s="2">
        <v>63</v>
      </c>
      <c r="C24" s="2">
        <v>24.03</v>
      </c>
      <c r="D24" s="2">
        <v>13</v>
      </c>
      <c r="E24" s="2">
        <v>18</v>
      </c>
      <c r="F24" s="2">
        <v>3</v>
      </c>
      <c r="G24" s="2" t="s">
        <v>63</v>
      </c>
      <c r="H24" s="2">
        <v>2</v>
      </c>
      <c r="I24" s="2" t="s">
        <v>59</v>
      </c>
      <c r="J24" s="2" t="s">
        <v>130</v>
      </c>
      <c r="K24" s="2" t="s">
        <v>130</v>
      </c>
      <c r="L24" s="2" t="s">
        <v>45</v>
      </c>
      <c r="M24" s="2" t="s">
        <v>47</v>
      </c>
      <c r="N24" s="2" t="s">
        <v>55</v>
      </c>
      <c r="O24" s="2" t="s">
        <v>131</v>
      </c>
      <c r="P24" s="2" t="s">
        <v>130</v>
      </c>
      <c r="Q24" s="2" t="s">
        <v>130</v>
      </c>
      <c r="R24" s="2" t="s">
        <v>130</v>
      </c>
      <c r="S24" s="2" t="s">
        <v>130</v>
      </c>
      <c r="T24" s="2" t="s">
        <v>131</v>
      </c>
      <c r="U24" s="2" t="s">
        <v>130</v>
      </c>
      <c r="V24" s="2" t="s">
        <v>130</v>
      </c>
      <c r="W24" s="2">
        <v>7.5</v>
      </c>
      <c r="X24" s="8" t="str">
        <f t="shared" si="1"/>
        <v>Yes</v>
      </c>
      <c r="Y24" s="2">
        <v>3.98</v>
      </c>
      <c r="Z24" s="2">
        <v>11.7</v>
      </c>
      <c r="AA24" s="8" t="str">
        <f>IF(Z24&lt;12,"Yes","No")</f>
        <v>Yes</v>
      </c>
      <c r="AB24" s="2">
        <v>36.200000000000003</v>
      </c>
      <c r="AC24" s="2">
        <v>91</v>
      </c>
      <c r="AD24" s="2">
        <v>29.4</v>
      </c>
      <c r="AE24" s="2">
        <v>32.299999999999997</v>
      </c>
      <c r="AF24" s="10" t="str">
        <f t="shared" si="2"/>
        <v>No</v>
      </c>
      <c r="AG24" s="8" t="str">
        <f t="shared" si="3"/>
        <v>No</v>
      </c>
      <c r="AH24" s="2">
        <v>348</v>
      </c>
      <c r="AI24" s="2">
        <v>7.51</v>
      </c>
      <c r="AJ24" s="2">
        <v>4.8600000000000003</v>
      </c>
      <c r="AK24" s="10" t="str">
        <f t="shared" si="4"/>
        <v>No</v>
      </c>
      <c r="AL24" s="8" t="str">
        <f t="shared" si="5"/>
        <v>No</v>
      </c>
      <c r="AM24" s="2">
        <v>64.8</v>
      </c>
      <c r="AN24" s="8" t="str">
        <f t="shared" si="6"/>
        <v>No</v>
      </c>
      <c r="AO24" s="10" t="str">
        <f t="shared" si="7"/>
        <v>No</v>
      </c>
      <c r="AP24" s="2">
        <v>7.0000000000000007E-2</v>
      </c>
      <c r="AQ24" s="2">
        <v>0.9</v>
      </c>
      <c r="AR24" s="2">
        <v>0.01</v>
      </c>
      <c r="AS24" s="2">
        <v>0.1</v>
      </c>
      <c r="AT24" s="2">
        <v>2.23</v>
      </c>
      <c r="AU24" s="2">
        <v>29.7</v>
      </c>
      <c r="AV24" s="10" t="str">
        <f t="shared" si="8"/>
        <v>No</v>
      </c>
      <c r="AW24" s="8" t="str">
        <f t="shared" si="9"/>
        <v>No</v>
      </c>
      <c r="AX24" s="2">
        <v>0.34</v>
      </c>
      <c r="AY24" s="2">
        <v>4.5</v>
      </c>
      <c r="AZ24" s="10" t="str">
        <f t="shared" si="10"/>
        <v>No</v>
      </c>
      <c r="BA24" s="8" t="str">
        <f t="shared" si="11"/>
        <v>No</v>
      </c>
      <c r="BB24" s="2">
        <f t="shared" si="0"/>
        <v>2.1793721973094171</v>
      </c>
      <c r="BC24" s="2">
        <f t="shared" si="12"/>
        <v>0.15246636771300451</v>
      </c>
      <c r="BD24" s="2">
        <f t="shared" si="13"/>
        <v>156.05381165919283</v>
      </c>
    </row>
    <row r="25" spans="1:56" x14ac:dyDescent="0.2">
      <c r="A25" s="2" t="s">
        <v>226</v>
      </c>
      <c r="B25" s="2">
        <v>45</v>
      </c>
      <c r="C25" s="2">
        <v>22.94</v>
      </c>
      <c r="D25" s="2">
        <v>18</v>
      </c>
      <c r="E25" s="2">
        <v>22</v>
      </c>
      <c r="F25" s="2">
        <v>5</v>
      </c>
      <c r="G25" s="2" t="s">
        <v>63</v>
      </c>
      <c r="H25" s="2">
        <v>6</v>
      </c>
      <c r="I25" s="2" t="s">
        <v>59</v>
      </c>
      <c r="J25" s="2" t="s">
        <v>131</v>
      </c>
      <c r="K25" s="2" t="s">
        <v>130</v>
      </c>
      <c r="L25" s="2" t="s">
        <v>45</v>
      </c>
      <c r="M25" s="2" t="s">
        <v>47</v>
      </c>
      <c r="N25" s="2" t="s">
        <v>52</v>
      </c>
      <c r="O25" s="2" t="s">
        <v>130</v>
      </c>
      <c r="P25" s="2" t="s">
        <v>130</v>
      </c>
      <c r="Q25" s="2" t="s">
        <v>131</v>
      </c>
      <c r="R25" s="2" t="s">
        <v>130</v>
      </c>
      <c r="S25" s="2" t="s">
        <v>130</v>
      </c>
      <c r="T25" s="2" t="s">
        <v>131</v>
      </c>
      <c r="U25" s="2" t="s">
        <v>130</v>
      </c>
      <c r="V25" s="2" t="s">
        <v>130</v>
      </c>
      <c r="W25" s="2">
        <v>6</v>
      </c>
      <c r="X25" s="8" t="str">
        <f t="shared" si="1"/>
        <v>No</v>
      </c>
      <c r="Y25" s="2">
        <v>4.2</v>
      </c>
      <c r="Z25" s="2">
        <v>12.3</v>
      </c>
      <c r="AA25" s="8" t="str">
        <f t="shared" ref="AA25:AA30" si="18">IF(Z25&lt;12,"Yes","No")</f>
        <v>No</v>
      </c>
      <c r="AB25" s="2">
        <v>37.6</v>
      </c>
      <c r="AC25" s="2">
        <v>89.5</v>
      </c>
      <c r="AD25" s="2">
        <v>29.3</v>
      </c>
      <c r="AE25" s="2">
        <v>32.700000000000003</v>
      </c>
      <c r="AF25" s="10" t="str">
        <f t="shared" si="2"/>
        <v>No</v>
      </c>
      <c r="AG25" s="8" t="str">
        <f t="shared" si="3"/>
        <v>Yes</v>
      </c>
      <c r="AH25" s="2">
        <v>407</v>
      </c>
      <c r="AI25" s="2">
        <v>4.57</v>
      </c>
      <c r="AJ25" s="2">
        <v>2.39</v>
      </c>
      <c r="AK25" s="10" t="str">
        <f t="shared" si="4"/>
        <v>No</v>
      </c>
      <c r="AL25" s="8" t="str">
        <f t="shared" si="5"/>
        <v>No</v>
      </c>
      <c r="AM25" s="2">
        <v>52.3</v>
      </c>
      <c r="AN25" s="8" t="str">
        <f t="shared" si="6"/>
        <v>No</v>
      </c>
      <c r="AO25" s="10" t="str">
        <f t="shared" si="7"/>
        <v>No</v>
      </c>
      <c r="AP25" s="2">
        <v>7.0000000000000007E-2</v>
      </c>
      <c r="AQ25" s="2">
        <v>1.5</v>
      </c>
      <c r="AR25" s="2">
        <v>0.03</v>
      </c>
      <c r="AS25" s="2">
        <v>0.7</v>
      </c>
      <c r="AT25" s="2">
        <v>1.81</v>
      </c>
      <c r="AU25" s="2">
        <v>39.6</v>
      </c>
      <c r="AV25" s="10" t="str">
        <f t="shared" si="8"/>
        <v>No</v>
      </c>
      <c r="AW25" s="8" t="str">
        <f t="shared" si="9"/>
        <v>No</v>
      </c>
      <c r="AX25" s="2">
        <v>0.27</v>
      </c>
      <c r="AY25" s="2">
        <v>5.9</v>
      </c>
      <c r="AZ25" s="10" t="str">
        <f t="shared" si="10"/>
        <v>No</v>
      </c>
      <c r="BA25" s="8" t="str">
        <f t="shared" si="11"/>
        <v>No</v>
      </c>
      <c r="BB25" s="2">
        <f t="shared" si="0"/>
        <v>1.3204419889502763</v>
      </c>
      <c r="BC25" s="2">
        <f t="shared" si="12"/>
        <v>0.14917127071823205</v>
      </c>
      <c r="BD25" s="2">
        <f t="shared" si="13"/>
        <v>224.86187845303866</v>
      </c>
    </row>
    <row r="26" spans="1:56" x14ac:dyDescent="0.2">
      <c r="A26" s="2" t="s">
        <v>227</v>
      </c>
      <c r="B26" s="2">
        <v>43</v>
      </c>
      <c r="C26" s="2">
        <v>27.94</v>
      </c>
      <c r="D26" s="2">
        <v>13</v>
      </c>
      <c r="E26" s="2">
        <v>25</v>
      </c>
      <c r="F26" s="2">
        <v>3</v>
      </c>
      <c r="G26" s="2" t="s">
        <v>63</v>
      </c>
      <c r="H26" s="2">
        <v>4</v>
      </c>
      <c r="I26" s="2" t="s">
        <v>59</v>
      </c>
      <c r="J26" s="2" t="s">
        <v>131</v>
      </c>
      <c r="K26" s="2" t="s">
        <v>130</v>
      </c>
      <c r="L26" s="4" t="s">
        <v>75</v>
      </c>
      <c r="M26" s="4" t="s">
        <v>49</v>
      </c>
      <c r="N26" s="2" t="s">
        <v>89</v>
      </c>
      <c r="O26" s="2" t="s">
        <v>130</v>
      </c>
      <c r="P26" s="2" t="s">
        <v>131</v>
      </c>
      <c r="Q26" s="2" t="s">
        <v>131</v>
      </c>
      <c r="R26" s="2" t="s">
        <v>130</v>
      </c>
      <c r="S26" s="2" t="s">
        <v>130</v>
      </c>
      <c r="T26" s="2" t="s">
        <v>131</v>
      </c>
      <c r="U26" s="2" t="s">
        <v>130</v>
      </c>
      <c r="V26" s="2" t="s">
        <v>130</v>
      </c>
      <c r="W26" s="2">
        <v>7.8</v>
      </c>
      <c r="X26" s="8" t="str">
        <f t="shared" si="1"/>
        <v>Yes</v>
      </c>
      <c r="Y26" s="2">
        <v>5.47</v>
      </c>
      <c r="Z26" s="2">
        <v>13.8</v>
      </c>
      <c r="AA26" s="8" t="str">
        <f t="shared" si="18"/>
        <v>No</v>
      </c>
      <c r="AB26" s="2">
        <v>44.9</v>
      </c>
      <c r="AC26" s="2">
        <v>82.1</v>
      </c>
      <c r="AD26" s="2">
        <v>25.2</v>
      </c>
      <c r="AE26" s="2">
        <v>30.7</v>
      </c>
      <c r="AF26" s="10" t="str">
        <f t="shared" si="2"/>
        <v>No</v>
      </c>
      <c r="AG26" s="8" t="str">
        <f t="shared" si="3"/>
        <v>No</v>
      </c>
      <c r="AH26" s="2">
        <v>341</v>
      </c>
      <c r="AI26" s="2">
        <v>6.98</v>
      </c>
      <c r="AJ26" s="2">
        <v>3.01</v>
      </c>
      <c r="AK26" s="10" t="str">
        <f t="shared" si="4"/>
        <v>No</v>
      </c>
      <c r="AL26" s="8" t="str">
        <f t="shared" si="5"/>
        <v>No</v>
      </c>
      <c r="AM26" s="2">
        <v>43.1</v>
      </c>
      <c r="AN26" s="8" t="str">
        <f t="shared" si="6"/>
        <v>No</v>
      </c>
      <c r="AO26" s="10" t="str">
        <f t="shared" si="7"/>
        <v>No</v>
      </c>
      <c r="AP26" s="2">
        <v>0.06</v>
      </c>
      <c r="AQ26" s="2">
        <v>0.9</v>
      </c>
      <c r="AR26" s="2">
        <v>0.03</v>
      </c>
      <c r="AS26" s="2">
        <v>0.4</v>
      </c>
      <c r="AT26" s="2">
        <v>3.44</v>
      </c>
      <c r="AU26" s="2">
        <v>49.3</v>
      </c>
      <c r="AV26" s="10" t="str">
        <f t="shared" si="8"/>
        <v>No</v>
      </c>
      <c r="AW26" s="8" t="str">
        <f t="shared" si="9"/>
        <v>No</v>
      </c>
      <c r="AX26" s="2">
        <v>0.44</v>
      </c>
      <c r="AY26" s="2">
        <v>6.3</v>
      </c>
      <c r="AZ26" s="10" t="str">
        <f t="shared" si="10"/>
        <v>No</v>
      </c>
      <c r="BA26" s="8" t="str">
        <f t="shared" si="11"/>
        <v>No</v>
      </c>
      <c r="BB26" s="2">
        <f t="shared" si="0"/>
        <v>0.875</v>
      </c>
      <c r="BC26" s="2">
        <f t="shared" si="12"/>
        <v>0.12790697674418605</v>
      </c>
      <c r="BD26" s="2">
        <f t="shared" si="13"/>
        <v>99.127906976744185</v>
      </c>
    </row>
    <row r="27" spans="1:56" x14ac:dyDescent="0.2">
      <c r="A27" s="2" t="s">
        <v>228</v>
      </c>
      <c r="B27" s="2">
        <v>45</v>
      </c>
      <c r="C27" s="2">
        <v>27.78</v>
      </c>
      <c r="D27" s="2">
        <v>15</v>
      </c>
      <c r="E27" s="2">
        <v>21</v>
      </c>
      <c r="F27" s="2">
        <v>0</v>
      </c>
      <c r="G27" s="2" t="s">
        <v>64</v>
      </c>
      <c r="H27" s="2">
        <v>0</v>
      </c>
      <c r="I27" s="2" t="s">
        <v>61</v>
      </c>
      <c r="J27" s="2" t="s">
        <v>130</v>
      </c>
      <c r="K27" s="2" t="s">
        <v>130</v>
      </c>
      <c r="L27" s="2" t="s">
        <v>45</v>
      </c>
      <c r="M27" s="2" t="s">
        <v>46</v>
      </c>
      <c r="N27" s="2" t="s">
        <v>52</v>
      </c>
      <c r="O27" s="2" t="s">
        <v>130</v>
      </c>
      <c r="P27" s="2" t="s">
        <v>130</v>
      </c>
      <c r="Q27" s="2" t="s">
        <v>131</v>
      </c>
      <c r="R27" s="2" t="s">
        <v>130</v>
      </c>
      <c r="S27" s="2" t="s">
        <v>130</v>
      </c>
      <c r="T27" s="2" t="s">
        <v>131</v>
      </c>
      <c r="U27" s="2" t="s">
        <v>130</v>
      </c>
      <c r="V27" s="2" t="s">
        <v>130</v>
      </c>
      <c r="W27" s="2">
        <v>1.3</v>
      </c>
      <c r="X27" s="8" t="str">
        <f t="shared" si="1"/>
        <v>No</v>
      </c>
      <c r="Y27" s="2">
        <v>4.66</v>
      </c>
      <c r="Z27" s="2">
        <v>13.8</v>
      </c>
      <c r="AA27" s="8" t="str">
        <f t="shared" si="18"/>
        <v>No</v>
      </c>
      <c r="AB27" s="2">
        <v>42</v>
      </c>
      <c r="AC27" s="2">
        <v>90.1</v>
      </c>
      <c r="AD27" s="2">
        <v>29.6</v>
      </c>
      <c r="AE27" s="2">
        <v>32.9</v>
      </c>
      <c r="AF27" s="10" t="str">
        <f t="shared" si="2"/>
        <v>No</v>
      </c>
      <c r="AG27" s="8" t="str">
        <f t="shared" si="3"/>
        <v>No</v>
      </c>
      <c r="AH27" s="2">
        <v>359</v>
      </c>
      <c r="AI27" s="2">
        <v>4.2</v>
      </c>
      <c r="AJ27" s="2">
        <v>1.72</v>
      </c>
      <c r="AK27" s="10" t="str">
        <f t="shared" si="4"/>
        <v>No</v>
      </c>
      <c r="AL27" s="8" t="str">
        <f t="shared" si="5"/>
        <v>No</v>
      </c>
      <c r="AM27" s="2">
        <v>40.9</v>
      </c>
      <c r="AN27" s="8" t="str">
        <f t="shared" si="6"/>
        <v>No</v>
      </c>
      <c r="AO27" s="10" t="str">
        <f t="shared" si="7"/>
        <v>Yes</v>
      </c>
      <c r="AP27" s="2">
        <v>0.05</v>
      </c>
      <c r="AQ27" s="2">
        <v>1.2</v>
      </c>
      <c r="AR27" s="2">
        <v>0.02</v>
      </c>
      <c r="AS27" s="2">
        <v>0.5</v>
      </c>
      <c r="AT27" s="2">
        <v>2.0699999999999998</v>
      </c>
      <c r="AU27" s="2">
        <v>49.3</v>
      </c>
      <c r="AV27" s="10" t="str">
        <f t="shared" si="8"/>
        <v>No</v>
      </c>
      <c r="AW27" s="8" t="str">
        <f t="shared" si="9"/>
        <v>No</v>
      </c>
      <c r="AX27" s="2">
        <v>0.34</v>
      </c>
      <c r="AY27" s="2">
        <v>8.1</v>
      </c>
      <c r="AZ27" s="10" t="str">
        <f t="shared" si="10"/>
        <v>No</v>
      </c>
      <c r="BA27" s="8" t="str">
        <f t="shared" si="11"/>
        <v>No</v>
      </c>
      <c r="BB27" s="2">
        <f t="shared" si="0"/>
        <v>0.83091787439613529</v>
      </c>
      <c r="BC27" s="2">
        <f t="shared" si="12"/>
        <v>0.16425120772946863</v>
      </c>
      <c r="BD27" s="2">
        <f t="shared" si="13"/>
        <v>173.42995169082127</v>
      </c>
    </row>
    <row r="28" spans="1:56" x14ac:dyDescent="0.2">
      <c r="A28" s="2" t="s">
        <v>229</v>
      </c>
      <c r="B28" s="2">
        <v>76</v>
      </c>
      <c r="C28" s="2">
        <v>26.67</v>
      </c>
      <c r="D28" s="2">
        <v>15</v>
      </c>
      <c r="E28" s="2">
        <v>16</v>
      </c>
      <c r="F28" s="2">
        <v>10</v>
      </c>
      <c r="G28" s="2" t="s">
        <v>63</v>
      </c>
      <c r="H28" s="2">
        <v>12</v>
      </c>
      <c r="I28" s="2" t="s">
        <v>59</v>
      </c>
      <c r="J28" s="2" t="s">
        <v>131</v>
      </c>
      <c r="K28" s="2" t="s">
        <v>130</v>
      </c>
      <c r="L28" s="2" t="s">
        <v>45</v>
      </c>
      <c r="M28" s="2" t="s">
        <v>48</v>
      </c>
      <c r="N28" s="2" t="s">
        <v>52</v>
      </c>
      <c r="O28" s="2" t="s">
        <v>131</v>
      </c>
      <c r="P28" s="2" t="s">
        <v>130</v>
      </c>
      <c r="Q28" s="2" t="s">
        <v>131</v>
      </c>
      <c r="R28" s="2" t="s">
        <v>130</v>
      </c>
      <c r="S28" s="2" t="s">
        <v>130</v>
      </c>
      <c r="T28" s="2" t="s">
        <v>131</v>
      </c>
      <c r="U28" s="2" t="s">
        <v>130</v>
      </c>
      <c r="V28" s="2" t="s">
        <v>130</v>
      </c>
      <c r="W28" s="2">
        <v>5.2</v>
      </c>
      <c r="X28" s="8" t="str">
        <f t="shared" si="1"/>
        <v>No</v>
      </c>
      <c r="Y28" s="2">
        <v>4.07</v>
      </c>
      <c r="Z28" s="2">
        <v>11.7</v>
      </c>
      <c r="AA28" s="8" t="str">
        <f t="shared" si="18"/>
        <v>Yes</v>
      </c>
      <c r="AB28" s="2">
        <v>37.1</v>
      </c>
      <c r="AC28" s="2">
        <v>91.2</v>
      </c>
      <c r="AD28" s="2">
        <v>28.7</v>
      </c>
      <c r="AE28" s="2">
        <v>31.5</v>
      </c>
      <c r="AF28" s="10" t="str">
        <f t="shared" si="2"/>
        <v>No</v>
      </c>
      <c r="AG28" s="8" t="str">
        <f t="shared" si="3"/>
        <v>No</v>
      </c>
      <c r="AH28" s="2">
        <v>376</v>
      </c>
      <c r="AI28" s="2">
        <v>6.11</v>
      </c>
      <c r="AJ28" s="2">
        <v>2.35</v>
      </c>
      <c r="AK28" s="10" t="str">
        <f t="shared" si="4"/>
        <v>No</v>
      </c>
      <c r="AL28" s="8" t="str">
        <f t="shared" si="5"/>
        <v>No</v>
      </c>
      <c r="AM28" s="2">
        <v>38.4</v>
      </c>
      <c r="AN28" s="8" t="str">
        <f t="shared" si="6"/>
        <v>No</v>
      </c>
      <c r="AO28" s="10" t="str">
        <f t="shared" si="7"/>
        <v>No</v>
      </c>
      <c r="AP28" s="2">
        <v>0.14000000000000001</v>
      </c>
      <c r="AQ28" s="2">
        <v>2.2999999999999998</v>
      </c>
      <c r="AR28" s="2">
        <v>0.03</v>
      </c>
      <c r="AS28" s="2">
        <v>0.5</v>
      </c>
      <c r="AT28" s="2">
        <v>3.12</v>
      </c>
      <c r="AU28" s="2">
        <v>51.1</v>
      </c>
      <c r="AV28" s="10" t="str">
        <f t="shared" si="8"/>
        <v>No</v>
      </c>
      <c r="AW28" s="8" t="str">
        <f t="shared" si="9"/>
        <v>No</v>
      </c>
      <c r="AX28" s="2">
        <v>0.47</v>
      </c>
      <c r="AY28" s="2">
        <v>7.7</v>
      </c>
      <c r="AZ28" s="10" t="str">
        <f t="shared" si="10"/>
        <v>No</v>
      </c>
      <c r="BA28" s="8" t="str">
        <f t="shared" si="11"/>
        <v>No</v>
      </c>
      <c r="BB28" s="2">
        <f t="shared" si="0"/>
        <v>0.75320512820512819</v>
      </c>
      <c r="BC28" s="2">
        <f t="shared" si="12"/>
        <v>0.15064102564102563</v>
      </c>
      <c r="BD28" s="2">
        <f t="shared" si="13"/>
        <v>120.51282051282051</v>
      </c>
    </row>
    <row r="29" spans="1:56" x14ac:dyDescent="0.2">
      <c r="A29" s="2" t="s">
        <v>230</v>
      </c>
      <c r="B29" s="2">
        <v>47</v>
      </c>
      <c r="C29" s="2">
        <v>24.57</v>
      </c>
      <c r="D29" s="2">
        <v>14</v>
      </c>
      <c r="E29" s="2">
        <v>20</v>
      </c>
      <c r="F29" s="2">
        <v>1</v>
      </c>
      <c r="G29" s="2" t="s">
        <v>62</v>
      </c>
      <c r="H29" s="2">
        <v>1</v>
      </c>
      <c r="I29" s="2" t="s">
        <v>60</v>
      </c>
      <c r="J29" s="2" t="s">
        <v>130</v>
      </c>
      <c r="K29" s="2" t="s">
        <v>130</v>
      </c>
      <c r="L29" s="2" t="s">
        <v>45</v>
      </c>
      <c r="M29" s="2" t="s">
        <v>48</v>
      </c>
      <c r="N29" s="2" t="s">
        <v>55</v>
      </c>
      <c r="O29" s="2" t="s">
        <v>131</v>
      </c>
      <c r="P29" s="2" t="s">
        <v>131</v>
      </c>
      <c r="Q29" s="2" t="s">
        <v>130</v>
      </c>
      <c r="R29" s="2" t="s">
        <v>130</v>
      </c>
      <c r="S29" s="2" t="s">
        <v>130</v>
      </c>
      <c r="T29" s="2" t="s">
        <v>131</v>
      </c>
      <c r="U29" s="2" t="s">
        <v>130</v>
      </c>
      <c r="V29" s="2" t="s">
        <v>130</v>
      </c>
      <c r="W29" s="2">
        <v>14.8</v>
      </c>
      <c r="X29" s="8" t="str">
        <f t="shared" si="1"/>
        <v>Yes</v>
      </c>
      <c r="Y29" s="2">
        <v>4.13</v>
      </c>
      <c r="Z29" s="2">
        <v>11.3</v>
      </c>
      <c r="AA29" s="8" t="str">
        <f t="shared" si="18"/>
        <v>Yes</v>
      </c>
      <c r="AB29" s="2">
        <v>89.6</v>
      </c>
      <c r="AC29" s="2">
        <v>89.6</v>
      </c>
      <c r="AD29" s="2">
        <v>27.4</v>
      </c>
      <c r="AE29" s="2">
        <v>30.5</v>
      </c>
      <c r="AF29" s="10" t="str">
        <f t="shared" si="2"/>
        <v>No</v>
      </c>
      <c r="AG29" s="8" t="str">
        <f t="shared" si="3"/>
        <v>Yes</v>
      </c>
      <c r="AH29" s="2">
        <v>407</v>
      </c>
      <c r="AI29" s="2">
        <v>5.41</v>
      </c>
      <c r="AJ29" s="2">
        <v>2.5</v>
      </c>
      <c r="AK29" s="10" t="str">
        <f t="shared" si="4"/>
        <v>No</v>
      </c>
      <c r="AL29" s="8" t="str">
        <f t="shared" si="5"/>
        <v>No</v>
      </c>
      <c r="AM29" s="2">
        <v>46.3</v>
      </c>
      <c r="AN29" s="8" t="str">
        <f t="shared" si="6"/>
        <v>No</v>
      </c>
      <c r="AO29" s="10" t="str">
        <f t="shared" si="7"/>
        <v>No</v>
      </c>
      <c r="AP29" s="2">
        <v>0.17</v>
      </c>
      <c r="AQ29" s="2">
        <v>3.1</v>
      </c>
      <c r="AR29" s="2">
        <v>0.05</v>
      </c>
      <c r="AS29" s="2">
        <v>0.9</v>
      </c>
      <c r="AT29" s="2">
        <v>2.3199999999999998</v>
      </c>
      <c r="AU29" s="2">
        <v>42.9</v>
      </c>
      <c r="AV29" s="10" t="str">
        <f t="shared" si="8"/>
        <v>No</v>
      </c>
      <c r="AW29" s="8" t="str">
        <f t="shared" si="9"/>
        <v>No</v>
      </c>
      <c r="AX29" s="2">
        <v>0.37</v>
      </c>
      <c r="AY29" s="2">
        <v>6.8</v>
      </c>
      <c r="AZ29" s="10" t="str">
        <f t="shared" si="10"/>
        <v>No</v>
      </c>
      <c r="BA29" s="8" t="str">
        <f t="shared" si="11"/>
        <v>No</v>
      </c>
      <c r="BB29" s="2">
        <f t="shared" si="0"/>
        <v>1.0775862068965518</v>
      </c>
      <c r="BC29" s="2">
        <f t="shared" si="12"/>
        <v>0.15948275862068967</v>
      </c>
      <c r="BD29" s="2">
        <f t="shared" si="13"/>
        <v>175.43103448275863</v>
      </c>
    </row>
    <row r="30" spans="1:56" x14ac:dyDescent="0.2">
      <c r="A30" s="2" t="s">
        <v>231</v>
      </c>
      <c r="B30" s="2">
        <v>47</v>
      </c>
      <c r="C30" s="2">
        <v>18.73</v>
      </c>
      <c r="D30" s="2">
        <v>15</v>
      </c>
      <c r="E30" s="2">
        <v>21</v>
      </c>
      <c r="F30" s="2">
        <v>2</v>
      </c>
      <c r="G30" s="2" t="s">
        <v>63</v>
      </c>
      <c r="H30" s="2">
        <v>3</v>
      </c>
      <c r="I30" s="2" t="s">
        <v>59</v>
      </c>
      <c r="J30" s="2" t="s">
        <v>131</v>
      </c>
      <c r="K30" s="2" t="s">
        <v>130</v>
      </c>
      <c r="L30" s="2" t="s">
        <v>45</v>
      </c>
      <c r="M30" s="2" t="s">
        <v>48</v>
      </c>
      <c r="N30" s="2" t="s">
        <v>52</v>
      </c>
      <c r="O30" s="2" t="s">
        <v>131</v>
      </c>
      <c r="P30" s="2" t="s">
        <v>131</v>
      </c>
      <c r="Q30" s="2" t="s">
        <v>131</v>
      </c>
      <c r="R30" s="2" t="s">
        <v>130</v>
      </c>
      <c r="S30" s="2" t="s">
        <v>130</v>
      </c>
      <c r="T30" s="2" t="s">
        <v>131</v>
      </c>
      <c r="U30" s="2" t="s">
        <v>130</v>
      </c>
      <c r="V30" s="2" t="s">
        <v>130</v>
      </c>
      <c r="W30" s="2">
        <v>7.2</v>
      </c>
      <c r="X30" s="8" t="str">
        <f t="shared" si="1"/>
        <v>Yes</v>
      </c>
      <c r="Y30" s="2">
        <v>3.82</v>
      </c>
      <c r="Z30" s="2">
        <v>10.8</v>
      </c>
      <c r="AA30" s="8" t="str">
        <f t="shared" si="18"/>
        <v>Yes</v>
      </c>
      <c r="AB30" s="2">
        <v>34.200000000000003</v>
      </c>
      <c r="AC30" s="2">
        <v>89.5</v>
      </c>
      <c r="AD30" s="2">
        <v>28.3</v>
      </c>
      <c r="AE30" s="2">
        <v>31.6</v>
      </c>
      <c r="AF30" s="10" t="str">
        <f t="shared" si="2"/>
        <v>No</v>
      </c>
      <c r="AG30" s="8" t="str">
        <f t="shared" si="3"/>
        <v>No</v>
      </c>
      <c r="AH30" s="2">
        <v>201</v>
      </c>
      <c r="AI30" s="2">
        <v>5</v>
      </c>
      <c r="AJ30" s="2">
        <v>1.46</v>
      </c>
      <c r="AK30" s="10" t="str">
        <f t="shared" si="4"/>
        <v>No</v>
      </c>
      <c r="AL30" s="8" t="str">
        <f t="shared" si="5"/>
        <v>No</v>
      </c>
      <c r="AM30" s="2">
        <v>29.2</v>
      </c>
      <c r="AN30" s="8" t="str">
        <f t="shared" si="6"/>
        <v>No</v>
      </c>
      <c r="AO30" s="10" t="str">
        <f t="shared" si="7"/>
        <v>Yes</v>
      </c>
      <c r="AP30" s="2">
        <v>0.31</v>
      </c>
      <c r="AQ30" s="2">
        <v>6.2</v>
      </c>
      <c r="AR30" s="2">
        <v>0.04</v>
      </c>
      <c r="AS30" s="2">
        <v>0.8</v>
      </c>
      <c r="AT30" s="2">
        <v>2.7</v>
      </c>
      <c r="AU30" s="2">
        <v>54</v>
      </c>
      <c r="AV30" s="10" t="str">
        <f t="shared" si="8"/>
        <v>No</v>
      </c>
      <c r="AW30" s="8" t="str">
        <f t="shared" si="9"/>
        <v>No</v>
      </c>
      <c r="AX30" s="2">
        <v>0.49</v>
      </c>
      <c r="AY30" s="2">
        <v>9</v>
      </c>
      <c r="AZ30" s="10" t="str">
        <f t="shared" si="10"/>
        <v>No</v>
      </c>
      <c r="BA30" s="8" t="str">
        <f t="shared" si="11"/>
        <v>No</v>
      </c>
      <c r="BB30" s="2">
        <f t="shared" si="0"/>
        <v>0.54074074074074074</v>
      </c>
      <c r="BC30" s="2">
        <f t="shared" si="12"/>
        <v>0.18148148148148147</v>
      </c>
      <c r="BD30" s="2">
        <f t="shared" si="13"/>
        <v>74.444444444444443</v>
      </c>
    </row>
    <row r="31" spans="1:56" x14ac:dyDescent="0.2">
      <c r="A31" s="2" t="s">
        <v>232</v>
      </c>
      <c r="B31" s="2">
        <v>58</v>
      </c>
      <c r="C31" s="2">
        <v>29.41</v>
      </c>
      <c r="D31" s="2">
        <v>17</v>
      </c>
      <c r="E31" s="2">
        <v>20</v>
      </c>
      <c r="F31" s="2">
        <v>3</v>
      </c>
      <c r="G31" s="2" t="s">
        <v>63</v>
      </c>
      <c r="H31" s="2">
        <v>4</v>
      </c>
      <c r="I31" s="2" t="s">
        <v>59</v>
      </c>
      <c r="J31" s="2" t="s">
        <v>130</v>
      </c>
      <c r="K31" s="2" t="s">
        <v>130</v>
      </c>
      <c r="L31" s="2" t="s">
        <v>45</v>
      </c>
      <c r="M31" s="2" t="s">
        <v>48</v>
      </c>
      <c r="N31" s="2" t="s">
        <v>55</v>
      </c>
      <c r="O31" s="2" t="s">
        <v>131</v>
      </c>
      <c r="P31" s="2" t="s">
        <v>130</v>
      </c>
      <c r="Q31" s="2" t="s">
        <v>131</v>
      </c>
      <c r="R31" s="2" t="s">
        <v>130</v>
      </c>
      <c r="S31" s="2" t="s">
        <v>130</v>
      </c>
      <c r="T31" s="2" t="s">
        <v>131</v>
      </c>
      <c r="U31" s="2" t="s">
        <v>130</v>
      </c>
      <c r="V31" s="2" t="s">
        <v>130</v>
      </c>
      <c r="W31" s="2">
        <v>3.9</v>
      </c>
      <c r="X31" s="8" t="str">
        <f t="shared" si="1"/>
        <v>No</v>
      </c>
      <c r="Y31" s="2">
        <v>4.1100000000000003</v>
      </c>
      <c r="Z31" s="2">
        <v>12.2</v>
      </c>
      <c r="AA31" s="8" t="str">
        <f t="shared" ref="AA31:AA34" si="19">IF(Z31&lt;12,"Yes","No")</f>
        <v>No</v>
      </c>
      <c r="AB31" s="2">
        <v>37.5</v>
      </c>
      <c r="AC31" s="2">
        <v>91.2</v>
      </c>
      <c r="AD31" s="2">
        <v>29.7</v>
      </c>
      <c r="AE31" s="2">
        <v>32.5</v>
      </c>
      <c r="AF31" s="10" t="str">
        <f t="shared" si="2"/>
        <v>No</v>
      </c>
      <c r="AG31" s="8" t="str">
        <f t="shared" si="3"/>
        <v>No</v>
      </c>
      <c r="AH31" s="2">
        <v>322</v>
      </c>
      <c r="AI31" s="2">
        <v>4.4800000000000004</v>
      </c>
      <c r="AJ31" s="2">
        <v>1.75</v>
      </c>
      <c r="AK31" s="10" t="str">
        <f t="shared" si="4"/>
        <v>No</v>
      </c>
      <c r="AL31" s="8" t="str">
        <f t="shared" si="5"/>
        <v>No</v>
      </c>
      <c r="AM31" s="2">
        <v>39.200000000000003</v>
      </c>
      <c r="AN31" s="8" t="str">
        <f t="shared" si="6"/>
        <v>No</v>
      </c>
      <c r="AO31" s="10" t="str">
        <f t="shared" si="7"/>
        <v>Yes</v>
      </c>
      <c r="AP31" s="2">
        <v>0.14000000000000001</v>
      </c>
      <c r="AQ31" s="2">
        <v>3.1</v>
      </c>
      <c r="AR31" s="2">
        <v>0.02</v>
      </c>
      <c r="AS31" s="2">
        <v>0.4</v>
      </c>
      <c r="AT31" s="2">
        <v>2.21</v>
      </c>
      <c r="AU31" s="2">
        <v>49.3</v>
      </c>
      <c r="AV31" s="10" t="str">
        <f t="shared" si="8"/>
        <v>No</v>
      </c>
      <c r="AW31" s="8" t="str">
        <f t="shared" si="9"/>
        <v>No</v>
      </c>
      <c r="AX31" s="2">
        <v>0.36</v>
      </c>
      <c r="AY31" s="2">
        <v>8</v>
      </c>
      <c r="AZ31" s="10" t="str">
        <f t="shared" si="10"/>
        <v>No</v>
      </c>
      <c r="BA31" s="8" t="str">
        <f t="shared" si="11"/>
        <v>No</v>
      </c>
      <c r="BB31" s="2">
        <f t="shared" si="0"/>
        <v>0.79185520361990946</v>
      </c>
      <c r="BC31" s="2">
        <f t="shared" si="12"/>
        <v>0.16289592760180996</v>
      </c>
      <c r="BD31" s="2">
        <f t="shared" si="13"/>
        <v>145.70135746606334</v>
      </c>
    </row>
    <row r="32" spans="1:56" x14ac:dyDescent="0.2">
      <c r="A32" s="2" t="s">
        <v>233</v>
      </c>
      <c r="B32" s="2">
        <v>55</v>
      </c>
      <c r="C32" s="2">
        <v>29.4</v>
      </c>
      <c r="D32" s="2">
        <v>19</v>
      </c>
      <c r="E32" s="2">
        <v>20</v>
      </c>
      <c r="F32" s="2">
        <v>3</v>
      </c>
      <c r="G32" s="2" t="s">
        <v>63</v>
      </c>
      <c r="H32" s="2">
        <v>4</v>
      </c>
      <c r="I32" s="2" t="s">
        <v>59</v>
      </c>
      <c r="J32" s="2" t="s">
        <v>131</v>
      </c>
      <c r="K32" s="2" t="s">
        <v>130</v>
      </c>
      <c r="L32" s="2" t="s">
        <v>45</v>
      </c>
      <c r="M32" s="2" t="s">
        <v>46</v>
      </c>
      <c r="N32" s="2" t="s">
        <v>52</v>
      </c>
      <c r="O32" s="2" t="s">
        <v>131</v>
      </c>
      <c r="P32" s="2" t="s">
        <v>131</v>
      </c>
      <c r="Q32" s="2" t="s">
        <v>130</v>
      </c>
      <c r="R32" s="2" t="s">
        <v>130</v>
      </c>
      <c r="S32" s="2" t="s">
        <v>130</v>
      </c>
      <c r="T32" s="2" t="s">
        <v>131</v>
      </c>
      <c r="U32" s="2" t="s">
        <v>130</v>
      </c>
      <c r="V32" s="2" t="s">
        <v>130</v>
      </c>
      <c r="W32" s="2">
        <v>11.8</v>
      </c>
      <c r="X32" s="8" t="str">
        <f t="shared" si="1"/>
        <v>Yes</v>
      </c>
      <c r="Y32" s="2">
        <v>4.37</v>
      </c>
      <c r="Z32" s="2">
        <v>12.3</v>
      </c>
      <c r="AA32" s="8" t="str">
        <f t="shared" si="19"/>
        <v>No</v>
      </c>
      <c r="AB32" s="2">
        <v>40.5</v>
      </c>
      <c r="AC32" s="2">
        <v>92.7</v>
      </c>
      <c r="AD32" s="2">
        <v>28.1</v>
      </c>
      <c r="AE32" s="2">
        <v>30.4</v>
      </c>
      <c r="AF32" s="10" t="str">
        <f t="shared" si="2"/>
        <v>No</v>
      </c>
      <c r="AG32" s="8" t="str">
        <f t="shared" si="3"/>
        <v>No</v>
      </c>
      <c r="AH32" s="2">
        <v>329</v>
      </c>
      <c r="AI32" s="2">
        <v>5.0199999999999996</v>
      </c>
      <c r="AJ32" s="2">
        <v>2.02</v>
      </c>
      <c r="AK32" s="10" t="str">
        <f t="shared" si="4"/>
        <v>No</v>
      </c>
      <c r="AL32" s="8" t="str">
        <f t="shared" si="5"/>
        <v>No</v>
      </c>
      <c r="AM32" s="2">
        <v>40.200000000000003</v>
      </c>
      <c r="AN32" s="8" t="str">
        <f t="shared" si="6"/>
        <v>No</v>
      </c>
      <c r="AO32" s="10" t="str">
        <f t="shared" si="7"/>
        <v>No</v>
      </c>
      <c r="AP32" s="2">
        <v>0.1</v>
      </c>
      <c r="AQ32" s="2">
        <v>2</v>
      </c>
      <c r="AR32" s="2">
        <v>0.03</v>
      </c>
      <c r="AS32" s="2">
        <v>0.6</v>
      </c>
      <c r="AT32" s="2">
        <v>2.59</v>
      </c>
      <c r="AU32" s="2">
        <v>51.6</v>
      </c>
      <c r="AV32" s="10" t="str">
        <f t="shared" si="8"/>
        <v>No</v>
      </c>
      <c r="AW32" s="8" t="str">
        <f t="shared" si="9"/>
        <v>No</v>
      </c>
      <c r="AX32" s="2">
        <v>0.28000000000000003</v>
      </c>
      <c r="AY32" s="2">
        <v>5.6</v>
      </c>
      <c r="AZ32" s="10" t="str">
        <f t="shared" si="10"/>
        <v>No</v>
      </c>
      <c r="BA32" s="8" t="str">
        <f t="shared" si="11"/>
        <v>No</v>
      </c>
      <c r="BB32" s="2">
        <f t="shared" si="0"/>
        <v>0.77992277992277992</v>
      </c>
      <c r="BC32" s="2">
        <f t="shared" si="12"/>
        <v>0.10810810810810813</v>
      </c>
      <c r="BD32" s="2">
        <f t="shared" si="13"/>
        <v>127.02702702702703</v>
      </c>
    </row>
    <row r="33" spans="1:56" x14ac:dyDescent="0.2">
      <c r="A33" s="2" t="s">
        <v>234</v>
      </c>
      <c r="B33" s="2">
        <v>46</v>
      </c>
      <c r="C33" s="2">
        <v>27.89</v>
      </c>
      <c r="D33" s="2">
        <v>11</v>
      </c>
      <c r="E33" s="2">
        <v>21</v>
      </c>
      <c r="F33" s="2">
        <v>0</v>
      </c>
      <c r="G33" s="2" t="s">
        <v>64</v>
      </c>
      <c r="H33" s="2">
        <v>0</v>
      </c>
      <c r="I33" s="2" t="s">
        <v>61</v>
      </c>
      <c r="J33" s="2" t="s">
        <v>130</v>
      </c>
      <c r="K33" s="2" t="s">
        <v>130</v>
      </c>
      <c r="L33" s="2" t="s">
        <v>45</v>
      </c>
      <c r="M33" s="2" t="s">
        <v>46</v>
      </c>
      <c r="N33" s="2" t="s">
        <v>52</v>
      </c>
      <c r="O33" s="2" t="s">
        <v>131</v>
      </c>
      <c r="P33" s="2" t="s">
        <v>131</v>
      </c>
      <c r="Q33" s="2" t="s">
        <v>130</v>
      </c>
      <c r="R33" s="2" t="s">
        <v>130</v>
      </c>
      <c r="S33" s="2" t="s">
        <v>130</v>
      </c>
      <c r="T33" s="2" t="s">
        <v>131</v>
      </c>
      <c r="U33" s="2" t="s">
        <v>130</v>
      </c>
      <c r="V33" s="2" t="s">
        <v>130</v>
      </c>
      <c r="W33" s="2">
        <v>3.2</v>
      </c>
      <c r="X33" s="8" t="str">
        <f t="shared" si="1"/>
        <v>No</v>
      </c>
      <c r="Y33" s="2">
        <v>4.79</v>
      </c>
      <c r="Z33" s="2">
        <v>13.8</v>
      </c>
      <c r="AA33" s="8" t="str">
        <f t="shared" si="19"/>
        <v>No</v>
      </c>
      <c r="AB33" s="2">
        <v>43.1</v>
      </c>
      <c r="AC33" s="2">
        <v>90</v>
      </c>
      <c r="AD33" s="2">
        <v>28.8</v>
      </c>
      <c r="AE33" s="2">
        <v>32</v>
      </c>
      <c r="AF33" s="10" t="str">
        <f t="shared" si="2"/>
        <v>No</v>
      </c>
      <c r="AG33" s="8" t="str">
        <f t="shared" si="3"/>
        <v>No</v>
      </c>
      <c r="AH33" s="2">
        <v>272</v>
      </c>
      <c r="AI33" s="2">
        <v>5.23</v>
      </c>
      <c r="AJ33" s="2">
        <v>2.84</v>
      </c>
      <c r="AK33" s="10" t="str">
        <f t="shared" si="4"/>
        <v>No</v>
      </c>
      <c r="AL33" s="8" t="str">
        <f t="shared" si="5"/>
        <v>No</v>
      </c>
      <c r="AM33" s="2">
        <v>54.3</v>
      </c>
      <c r="AN33" s="8" t="str">
        <f t="shared" si="6"/>
        <v>No</v>
      </c>
      <c r="AO33" s="10" t="str">
        <f t="shared" si="7"/>
        <v>No</v>
      </c>
      <c r="AP33" s="2">
        <v>0.24</v>
      </c>
      <c r="AQ33" s="2">
        <v>4.5999999999999996</v>
      </c>
      <c r="AR33" s="2">
        <v>0.03</v>
      </c>
      <c r="AS33" s="2">
        <v>0.6</v>
      </c>
      <c r="AT33" s="2">
        <v>1.77</v>
      </c>
      <c r="AU33" s="2">
        <v>33.799999999999997</v>
      </c>
      <c r="AV33" s="10" t="str">
        <f t="shared" si="8"/>
        <v>No</v>
      </c>
      <c r="AW33" s="8" t="str">
        <f t="shared" si="9"/>
        <v>No</v>
      </c>
      <c r="AX33" s="2">
        <v>0.35</v>
      </c>
      <c r="AY33" s="2">
        <v>6.7</v>
      </c>
      <c r="AZ33" s="10" t="str">
        <f t="shared" si="10"/>
        <v>No</v>
      </c>
      <c r="BA33" s="8" t="str">
        <f t="shared" si="11"/>
        <v>No</v>
      </c>
      <c r="BB33" s="2">
        <f t="shared" si="0"/>
        <v>1.6045197740112993</v>
      </c>
      <c r="BC33" s="2">
        <f t="shared" si="12"/>
        <v>0.19774011299435026</v>
      </c>
      <c r="BD33" s="2">
        <f t="shared" si="13"/>
        <v>153.67231638418079</v>
      </c>
    </row>
    <row r="34" spans="1:56" x14ac:dyDescent="0.2">
      <c r="A34" s="2" t="s">
        <v>235</v>
      </c>
      <c r="B34" s="2">
        <v>48</v>
      </c>
      <c r="C34" s="2">
        <v>29.72</v>
      </c>
      <c r="D34" s="2">
        <v>10</v>
      </c>
      <c r="E34" s="2">
        <v>15</v>
      </c>
      <c r="F34" s="2">
        <v>5</v>
      </c>
      <c r="G34" s="2" t="s">
        <v>63</v>
      </c>
      <c r="H34" s="2">
        <v>7</v>
      </c>
      <c r="I34" s="2" t="s">
        <v>59</v>
      </c>
      <c r="J34" s="2" t="s">
        <v>131</v>
      </c>
      <c r="K34" s="2" t="s">
        <v>130</v>
      </c>
      <c r="L34" s="2" t="s">
        <v>45</v>
      </c>
      <c r="M34" s="2" t="s">
        <v>47</v>
      </c>
      <c r="N34" s="2" t="s">
        <v>52</v>
      </c>
      <c r="O34" s="2" t="s">
        <v>131</v>
      </c>
      <c r="P34" s="2" t="s">
        <v>130</v>
      </c>
      <c r="Q34" s="2" t="s">
        <v>131</v>
      </c>
      <c r="R34" s="2" t="s">
        <v>130</v>
      </c>
      <c r="S34" s="2" t="s">
        <v>130</v>
      </c>
      <c r="T34" s="2" t="s">
        <v>131</v>
      </c>
      <c r="U34" s="2" t="s">
        <v>130</v>
      </c>
      <c r="V34" s="2" t="s">
        <v>130</v>
      </c>
      <c r="W34" s="2">
        <v>4.0999999999999996</v>
      </c>
      <c r="X34" s="8" t="str">
        <f t="shared" si="1"/>
        <v>No</v>
      </c>
      <c r="Y34" s="2">
        <v>4.74</v>
      </c>
      <c r="Z34" s="2">
        <v>13.5</v>
      </c>
      <c r="AA34" s="8" t="str">
        <f t="shared" si="19"/>
        <v>No</v>
      </c>
      <c r="AB34" s="2">
        <v>38.5</v>
      </c>
      <c r="AC34" s="2">
        <v>81</v>
      </c>
      <c r="AD34" s="2">
        <v>28.4</v>
      </c>
      <c r="AE34" s="2">
        <v>35</v>
      </c>
      <c r="AF34" s="10" t="str">
        <f t="shared" si="2"/>
        <v>No</v>
      </c>
      <c r="AG34" s="8" t="str">
        <f t="shared" si="3"/>
        <v>No</v>
      </c>
      <c r="AH34" s="2">
        <v>273</v>
      </c>
      <c r="AI34" s="2">
        <v>5.5</v>
      </c>
      <c r="AJ34" s="2">
        <v>2.5</v>
      </c>
      <c r="AK34" s="10" t="str">
        <f t="shared" si="4"/>
        <v>No</v>
      </c>
      <c r="AL34" s="8" t="str">
        <f t="shared" si="5"/>
        <v>No</v>
      </c>
      <c r="AM34" s="2">
        <v>46.8</v>
      </c>
      <c r="AN34" s="8" t="str">
        <f t="shared" si="6"/>
        <v>No</v>
      </c>
      <c r="AO34" s="10" t="str">
        <f t="shared" si="7"/>
        <v>No</v>
      </c>
      <c r="AP34" s="2">
        <v>0.26</v>
      </c>
      <c r="AQ34" s="2">
        <v>4.7</v>
      </c>
      <c r="AR34" s="2">
        <v>0.12</v>
      </c>
      <c r="AS34" s="2">
        <v>2.2000000000000002</v>
      </c>
      <c r="AT34" s="2">
        <v>1.87</v>
      </c>
      <c r="AU34" s="2">
        <v>34.1</v>
      </c>
      <c r="AV34" s="10" t="str">
        <f t="shared" si="8"/>
        <v>No</v>
      </c>
      <c r="AW34" s="8" t="str">
        <f t="shared" si="9"/>
        <v>No</v>
      </c>
      <c r="AX34" s="2">
        <v>0.67</v>
      </c>
      <c r="AY34" s="2">
        <v>12.2</v>
      </c>
      <c r="AZ34" s="10" t="str">
        <f t="shared" si="10"/>
        <v>No</v>
      </c>
      <c r="BA34" s="8" t="str">
        <f t="shared" si="11"/>
        <v>No</v>
      </c>
      <c r="BB34" s="2">
        <f t="shared" si="0"/>
        <v>1.3368983957219251</v>
      </c>
      <c r="BC34" s="2">
        <f t="shared" si="12"/>
        <v>0.35828877005347592</v>
      </c>
      <c r="BD34" s="2">
        <f t="shared" si="13"/>
        <v>145.98930481283421</v>
      </c>
    </row>
    <row r="35" spans="1:56" x14ac:dyDescent="0.2">
      <c r="A35" s="2" t="s">
        <v>236</v>
      </c>
      <c r="B35" s="2">
        <v>50</v>
      </c>
      <c r="C35" s="2">
        <v>29.59</v>
      </c>
      <c r="D35" s="2">
        <v>15</v>
      </c>
      <c r="E35" s="2">
        <v>23</v>
      </c>
      <c r="F35" s="2">
        <v>4</v>
      </c>
      <c r="G35" s="2" t="s">
        <v>63</v>
      </c>
      <c r="H35" s="2">
        <v>11</v>
      </c>
      <c r="I35" s="2" t="s">
        <v>59</v>
      </c>
      <c r="J35" s="2" t="s">
        <v>131</v>
      </c>
      <c r="K35" s="2" t="s">
        <v>130</v>
      </c>
      <c r="L35" s="2" t="s">
        <v>45</v>
      </c>
      <c r="M35" s="2" t="s">
        <v>48</v>
      </c>
      <c r="N35" s="2" t="s">
        <v>55</v>
      </c>
      <c r="O35" s="2" t="s">
        <v>130</v>
      </c>
      <c r="P35" s="2" t="s">
        <v>131</v>
      </c>
      <c r="Q35" s="2" t="s">
        <v>130</v>
      </c>
      <c r="R35" s="2" t="s">
        <v>130</v>
      </c>
      <c r="S35" s="2" t="s">
        <v>130</v>
      </c>
      <c r="T35" s="2" t="s">
        <v>131</v>
      </c>
      <c r="U35" s="2" t="s">
        <v>130</v>
      </c>
      <c r="V35" s="2" t="s">
        <v>130</v>
      </c>
      <c r="W35" s="2">
        <v>2.7</v>
      </c>
      <c r="X35" s="8" t="str">
        <f t="shared" si="1"/>
        <v>No</v>
      </c>
      <c r="Y35" s="2">
        <v>4.08</v>
      </c>
      <c r="Z35" s="2">
        <v>11.9</v>
      </c>
      <c r="AA35" s="8" t="str">
        <f>IF(Z35&lt;12,"Yes","No")</f>
        <v>Yes</v>
      </c>
      <c r="AB35" s="2">
        <v>35.1</v>
      </c>
      <c r="AC35" s="2">
        <v>86</v>
      </c>
      <c r="AD35" s="2">
        <v>29.3</v>
      </c>
      <c r="AE35" s="2">
        <v>34</v>
      </c>
      <c r="AF35" s="10" t="str">
        <f t="shared" si="2"/>
        <v>No</v>
      </c>
      <c r="AG35" s="8" t="str">
        <f t="shared" si="3"/>
        <v>No</v>
      </c>
      <c r="AH35" s="2">
        <v>359</v>
      </c>
      <c r="AI35" s="2">
        <v>3.6</v>
      </c>
      <c r="AJ35" s="2">
        <v>0.99</v>
      </c>
      <c r="AK35" s="10" t="str">
        <f t="shared" si="4"/>
        <v>Yes</v>
      </c>
      <c r="AL35" s="8" t="str">
        <f t="shared" si="5"/>
        <v>No</v>
      </c>
      <c r="AM35" s="2">
        <v>27.5</v>
      </c>
      <c r="AN35" s="8" t="str">
        <f t="shared" si="6"/>
        <v>No</v>
      </c>
      <c r="AO35" s="10" t="str">
        <f t="shared" si="7"/>
        <v>Yes</v>
      </c>
      <c r="AP35" s="2">
        <v>0.15</v>
      </c>
      <c r="AQ35" s="2">
        <v>4.3</v>
      </c>
      <c r="AR35" s="2">
        <v>0.02</v>
      </c>
      <c r="AS35" s="2">
        <v>0.5</v>
      </c>
      <c r="AT35" s="2">
        <v>1.86</v>
      </c>
      <c r="AU35" s="2">
        <v>51.8</v>
      </c>
      <c r="AV35" s="10" t="str">
        <f t="shared" si="8"/>
        <v>No</v>
      </c>
      <c r="AW35" s="8" t="str">
        <f t="shared" si="9"/>
        <v>No</v>
      </c>
      <c r="AX35" s="2">
        <v>0.56999999999999995</v>
      </c>
      <c r="AY35" s="2">
        <v>15.9</v>
      </c>
      <c r="AZ35" s="10" t="str">
        <f t="shared" si="10"/>
        <v>No</v>
      </c>
      <c r="BA35" s="8" t="str">
        <f t="shared" si="11"/>
        <v>No</v>
      </c>
      <c r="BB35" s="2">
        <f t="shared" si="0"/>
        <v>0.532258064516129</v>
      </c>
      <c r="BC35" s="2">
        <f t="shared" si="12"/>
        <v>0.30645161290322576</v>
      </c>
      <c r="BD35" s="2">
        <f t="shared" si="13"/>
        <v>193.01075268817203</v>
      </c>
    </row>
    <row r="36" spans="1:56" x14ac:dyDescent="0.2">
      <c r="A36" s="2" t="s">
        <v>237</v>
      </c>
      <c r="B36" s="2">
        <v>61</v>
      </c>
      <c r="C36" s="2">
        <v>31.83</v>
      </c>
      <c r="D36" s="2">
        <v>16</v>
      </c>
      <c r="E36" s="2">
        <v>19</v>
      </c>
      <c r="F36" s="2">
        <v>3</v>
      </c>
      <c r="G36" s="2" t="s">
        <v>63</v>
      </c>
      <c r="H36" s="2">
        <v>4</v>
      </c>
      <c r="I36" s="2" t="s">
        <v>59</v>
      </c>
      <c r="J36" s="2" t="s">
        <v>130</v>
      </c>
      <c r="K36" s="2" t="s">
        <v>130</v>
      </c>
      <c r="L36" s="2" t="s">
        <v>45</v>
      </c>
      <c r="M36" s="2" t="s">
        <v>48</v>
      </c>
      <c r="N36" s="2" t="s">
        <v>55</v>
      </c>
      <c r="O36" s="2" t="s">
        <v>131</v>
      </c>
      <c r="P36" s="2" t="s">
        <v>130</v>
      </c>
      <c r="Q36" s="2" t="s">
        <v>131</v>
      </c>
      <c r="R36" s="2" t="s">
        <v>130</v>
      </c>
      <c r="S36" s="2" t="s">
        <v>130</v>
      </c>
      <c r="T36" s="2" t="s">
        <v>131</v>
      </c>
      <c r="U36" s="2" t="s">
        <v>130</v>
      </c>
      <c r="V36" s="2" t="s">
        <v>130</v>
      </c>
      <c r="W36" s="2">
        <v>15.6</v>
      </c>
      <c r="X36" s="8" t="str">
        <f t="shared" si="1"/>
        <v>Yes</v>
      </c>
      <c r="Y36" s="2">
        <v>4.3499999999999996</v>
      </c>
      <c r="Z36" s="2">
        <v>12.2</v>
      </c>
      <c r="AA36" s="8" t="str">
        <f t="shared" ref="AA36:AA41" si="20">IF(Z36&lt;12,"Yes","No")</f>
        <v>No</v>
      </c>
      <c r="AB36" s="2">
        <v>38.200000000000003</v>
      </c>
      <c r="AC36" s="2">
        <v>87.8</v>
      </c>
      <c r="AD36" s="2">
        <v>28</v>
      </c>
      <c r="AE36" s="2">
        <v>31.9</v>
      </c>
      <c r="AF36" s="10" t="str">
        <f t="shared" si="2"/>
        <v>No</v>
      </c>
      <c r="AG36" s="8" t="str">
        <f t="shared" si="3"/>
        <v>No</v>
      </c>
      <c r="AH36" s="2">
        <v>297</v>
      </c>
      <c r="AI36" s="2">
        <v>6.64</v>
      </c>
      <c r="AJ36" s="2">
        <v>2.97</v>
      </c>
      <c r="AK36" s="10" t="str">
        <f t="shared" si="4"/>
        <v>No</v>
      </c>
      <c r="AL36" s="8" t="str">
        <f t="shared" si="5"/>
        <v>No</v>
      </c>
      <c r="AM36" s="2">
        <v>44.7</v>
      </c>
      <c r="AN36" s="8" t="str">
        <f t="shared" si="6"/>
        <v>No</v>
      </c>
      <c r="AO36" s="10" t="str">
        <f t="shared" si="7"/>
        <v>No</v>
      </c>
      <c r="AP36" s="2">
        <v>0.21</v>
      </c>
      <c r="AQ36" s="2">
        <v>3.2</v>
      </c>
      <c r="AR36" s="2">
        <v>0.06</v>
      </c>
      <c r="AS36" s="2">
        <v>0.9</v>
      </c>
      <c r="AT36" s="2">
        <v>2.68</v>
      </c>
      <c r="AU36" s="2">
        <v>40.4</v>
      </c>
      <c r="AV36" s="10" t="str">
        <f t="shared" si="8"/>
        <v>No</v>
      </c>
      <c r="AW36" s="8" t="str">
        <f t="shared" si="9"/>
        <v>No</v>
      </c>
      <c r="AX36" s="2">
        <v>0.72</v>
      </c>
      <c r="AY36" s="2">
        <v>10.8</v>
      </c>
      <c r="AZ36" s="10" t="str">
        <f t="shared" si="10"/>
        <v>No</v>
      </c>
      <c r="BA36" s="8" t="str">
        <f t="shared" si="11"/>
        <v>No</v>
      </c>
      <c r="BB36" s="2">
        <f t="shared" si="0"/>
        <v>1.1082089552238805</v>
      </c>
      <c r="BC36" s="2">
        <f t="shared" si="12"/>
        <v>0.26865671641791045</v>
      </c>
      <c r="BD36" s="2">
        <f t="shared" si="13"/>
        <v>110.82089552238806</v>
      </c>
    </row>
    <row r="37" spans="1:56" x14ac:dyDescent="0.2">
      <c r="A37" s="2" t="s">
        <v>238</v>
      </c>
      <c r="B37" s="2">
        <v>55</v>
      </c>
      <c r="C37" s="2">
        <v>24.24</v>
      </c>
      <c r="D37" s="2">
        <v>12</v>
      </c>
      <c r="E37" s="2">
        <v>18</v>
      </c>
      <c r="F37" s="2">
        <v>6</v>
      </c>
      <c r="G37" s="2" t="s">
        <v>63</v>
      </c>
      <c r="H37" s="2">
        <v>6</v>
      </c>
      <c r="I37" s="2" t="s">
        <v>59</v>
      </c>
      <c r="J37" s="2" t="s">
        <v>130</v>
      </c>
      <c r="K37" s="2" t="s">
        <v>130</v>
      </c>
      <c r="L37" s="2" t="s">
        <v>45</v>
      </c>
      <c r="M37" s="2" t="s">
        <v>46</v>
      </c>
      <c r="N37" s="2" t="s">
        <v>52</v>
      </c>
      <c r="O37" s="2" t="s">
        <v>131</v>
      </c>
      <c r="P37" s="2" t="s">
        <v>130</v>
      </c>
      <c r="Q37" s="2" t="s">
        <v>131</v>
      </c>
      <c r="R37" s="2" t="s">
        <v>130</v>
      </c>
      <c r="S37" s="2" t="s">
        <v>130</v>
      </c>
      <c r="T37" s="2" t="s">
        <v>131</v>
      </c>
      <c r="U37" s="2" t="s">
        <v>130</v>
      </c>
      <c r="V37" s="2" t="s">
        <v>130</v>
      </c>
      <c r="W37" s="2">
        <v>1.9</v>
      </c>
      <c r="X37" s="8" t="str">
        <f t="shared" si="1"/>
        <v>No</v>
      </c>
      <c r="Y37" s="2">
        <v>4.51</v>
      </c>
      <c r="Z37" s="2">
        <v>13.3</v>
      </c>
      <c r="AA37" s="8" t="str">
        <f t="shared" si="20"/>
        <v>No</v>
      </c>
      <c r="AB37" s="2">
        <v>39.799999999999997</v>
      </c>
      <c r="AC37" s="2">
        <v>88.2</v>
      </c>
      <c r="AD37" s="2">
        <v>29.5</v>
      </c>
      <c r="AE37" s="2">
        <v>33.4</v>
      </c>
      <c r="AF37" s="10" t="str">
        <f t="shared" si="2"/>
        <v>No</v>
      </c>
      <c r="AG37" s="8" t="str">
        <f t="shared" si="3"/>
        <v>No</v>
      </c>
      <c r="AH37" s="2">
        <v>266</v>
      </c>
      <c r="AI37" s="2">
        <v>6.02</v>
      </c>
      <c r="AJ37" s="2">
        <v>1.84</v>
      </c>
      <c r="AK37" s="10" t="str">
        <f t="shared" si="4"/>
        <v>No</v>
      </c>
      <c r="AL37" s="8" t="str">
        <f t="shared" si="5"/>
        <v>No</v>
      </c>
      <c r="AM37" s="2">
        <v>30.6</v>
      </c>
      <c r="AN37" s="8" t="str">
        <f t="shared" si="6"/>
        <v>No</v>
      </c>
      <c r="AO37" s="10" t="str">
        <f t="shared" si="7"/>
        <v>Yes</v>
      </c>
      <c r="AP37" s="2">
        <v>0.17</v>
      </c>
      <c r="AQ37" s="2">
        <v>2.8</v>
      </c>
      <c r="AR37" s="2">
        <v>0.06</v>
      </c>
      <c r="AS37" s="2">
        <v>1</v>
      </c>
      <c r="AT37" s="2">
        <v>3.46</v>
      </c>
      <c r="AU37" s="2">
        <v>57.5</v>
      </c>
      <c r="AV37" s="10" t="str">
        <f t="shared" si="8"/>
        <v>No</v>
      </c>
      <c r="AW37" s="8" t="str">
        <f t="shared" si="9"/>
        <v>No</v>
      </c>
      <c r="AX37" s="2">
        <v>0.49</v>
      </c>
      <c r="AY37" s="2">
        <v>8.1</v>
      </c>
      <c r="AZ37" s="10" t="str">
        <f t="shared" si="10"/>
        <v>No</v>
      </c>
      <c r="BA37" s="8" t="str">
        <f t="shared" si="11"/>
        <v>No</v>
      </c>
      <c r="BB37" s="2">
        <f t="shared" si="0"/>
        <v>0.53179190751445093</v>
      </c>
      <c r="BC37" s="2">
        <f t="shared" si="12"/>
        <v>0.1416184971098266</v>
      </c>
      <c r="BD37" s="2">
        <f t="shared" si="13"/>
        <v>76.878612716763001</v>
      </c>
    </row>
    <row r="38" spans="1:56" x14ac:dyDescent="0.2">
      <c r="A38" s="2" t="s">
        <v>239</v>
      </c>
      <c r="B38" s="2">
        <v>44</v>
      </c>
      <c r="C38" s="2">
        <v>23.78</v>
      </c>
      <c r="D38" s="2">
        <v>13</v>
      </c>
      <c r="E38" s="2">
        <v>27</v>
      </c>
      <c r="F38" s="2">
        <v>3</v>
      </c>
      <c r="G38" s="2" t="s">
        <v>63</v>
      </c>
      <c r="H38" s="2">
        <v>3</v>
      </c>
      <c r="I38" s="2" t="s">
        <v>59</v>
      </c>
      <c r="J38" s="2" t="s">
        <v>130</v>
      </c>
      <c r="K38" s="2" t="s">
        <v>130</v>
      </c>
      <c r="L38" s="4" t="s">
        <v>75</v>
      </c>
      <c r="M38" s="4" t="s">
        <v>49</v>
      </c>
      <c r="N38" s="4" t="s">
        <v>80</v>
      </c>
      <c r="O38" s="2" t="s">
        <v>131</v>
      </c>
      <c r="P38" s="2" t="s">
        <v>131</v>
      </c>
      <c r="Q38" s="2" t="s">
        <v>131</v>
      </c>
      <c r="R38" s="2" t="s">
        <v>130</v>
      </c>
      <c r="S38" s="2" t="s">
        <v>130</v>
      </c>
      <c r="T38" s="2" t="s">
        <v>131</v>
      </c>
      <c r="U38" s="2" t="s">
        <v>130</v>
      </c>
      <c r="V38" s="2" t="s">
        <v>130</v>
      </c>
      <c r="W38" s="2">
        <v>1.6</v>
      </c>
      <c r="X38" s="8" t="str">
        <f t="shared" si="1"/>
        <v>No</v>
      </c>
      <c r="Y38" s="2">
        <v>4.59</v>
      </c>
      <c r="Z38" s="2">
        <v>12.8</v>
      </c>
      <c r="AA38" s="8" t="str">
        <f t="shared" si="20"/>
        <v>No</v>
      </c>
      <c r="AB38" s="2">
        <v>38.1</v>
      </c>
      <c r="AC38" s="2">
        <v>83</v>
      </c>
      <c r="AD38" s="2">
        <v>27.9</v>
      </c>
      <c r="AE38" s="2">
        <v>33.6</v>
      </c>
      <c r="AF38" s="10" t="str">
        <f t="shared" si="2"/>
        <v>No</v>
      </c>
      <c r="AG38" s="8" t="str">
        <f t="shared" si="3"/>
        <v>No</v>
      </c>
      <c r="AH38" s="2">
        <v>235</v>
      </c>
      <c r="AI38" s="2">
        <v>5.38</v>
      </c>
      <c r="AJ38" s="2">
        <v>1.9</v>
      </c>
      <c r="AK38" s="10" t="str">
        <f t="shared" si="4"/>
        <v>No</v>
      </c>
      <c r="AL38" s="8" t="str">
        <f t="shared" si="5"/>
        <v>No</v>
      </c>
      <c r="AM38" s="2">
        <v>35.4</v>
      </c>
      <c r="AN38" s="8" t="str">
        <f t="shared" si="6"/>
        <v>No</v>
      </c>
      <c r="AO38" s="10" t="str">
        <f t="shared" si="7"/>
        <v>Yes</v>
      </c>
      <c r="AP38" s="2">
        <v>0.08</v>
      </c>
      <c r="AQ38" s="2">
        <v>1.5</v>
      </c>
      <c r="AR38" s="2">
        <v>0.05</v>
      </c>
      <c r="AS38" s="2">
        <v>0.9</v>
      </c>
      <c r="AT38" s="2">
        <v>2.73</v>
      </c>
      <c r="AU38" s="2">
        <v>50.7</v>
      </c>
      <c r="AV38" s="10" t="str">
        <f t="shared" si="8"/>
        <v>No</v>
      </c>
      <c r="AW38" s="8" t="str">
        <f t="shared" si="9"/>
        <v>No</v>
      </c>
      <c r="AX38" s="2">
        <v>0.62</v>
      </c>
      <c r="AY38" s="2">
        <v>11.5</v>
      </c>
      <c r="AZ38" s="10" t="str">
        <f t="shared" si="10"/>
        <v>No</v>
      </c>
      <c r="BA38" s="8" t="str">
        <f t="shared" si="11"/>
        <v>No</v>
      </c>
      <c r="BB38" s="2">
        <f t="shared" si="0"/>
        <v>0.69597069597069594</v>
      </c>
      <c r="BC38" s="2">
        <f t="shared" si="12"/>
        <v>0.2271062271062271</v>
      </c>
      <c r="BD38" s="2">
        <f t="shared" si="13"/>
        <v>86.080586080586087</v>
      </c>
    </row>
    <row r="39" spans="1:56" x14ac:dyDescent="0.2">
      <c r="A39" s="2" t="s">
        <v>240</v>
      </c>
      <c r="B39" s="2">
        <v>60</v>
      </c>
      <c r="C39" s="2">
        <v>19.07</v>
      </c>
      <c r="D39" s="2">
        <v>13</v>
      </c>
      <c r="E39" s="2">
        <v>23</v>
      </c>
      <c r="F39" s="2">
        <v>8</v>
      </c>
      <c r="G39" s="2" t="s">
        <v>63</v>
      </c>
      <c r="H39" s="2">
        <v>14</v>
      </c>
      <c r="I39" s="2" t="s">
        <v>59</v>
      </c>
      <c r="J39" s="2" t="s">
        <v>131</v>
      </c>
      <c r="K39" s="2" t="s">
        <v>130</v>
      </c>
      <c r="L39" s="2" t="s">
        <v>45</v>
      </c>
      <c r="M39" s="2" t="s">
        <v>47</v>
      </c>
      <c r="N39" s="2" t="s">
        <v>52</v>
      </c>
      <c r="O39" s="2" t="s">
        <v>131</v>
      </c>
      <c r="P39" s="2" t="s">
        <v>131</v>
      </c>
      <c r="Q39" s="2" t="s">
        <v>130</v>
      </c>
      <c r="R39" s="2" t="s">
        <v>130</v>
      </c>
      <c r="S39" s="2" t="s">
        <v>130</v>
      </c>
      <c r="T39" s="2" t="s">
        <v>131</v>
      </c>
      <c r="U39" s="2" t="s">
        <v>130</v>
      </c>
      <c r="V39" s="2" t="s">
        <v>130</v>
      </c>
      <c r="W39" s="2">
        <v>0.3</v>
      </c>
      <c r="X39" s="8" t="str">
        <f t="shared" si="1"/>
        <v>No</v>
      </c>
      <c r="Y39" s="2">
        <v>4.29</v>
      </c>
      <c r="Z39" s="2">
        <v>13.2</v>
      </c>
      <c r="AA39" s="8" t="str">
        <f t="shared" si="20"/>
        <v>No</v>
      </c>
      <c r="AB39" s="2">
        <v>39.1</v>
      </c>
      <c r="AC39" s="2">
        <v>91.1</v>
      </c>
      <c r="AD39" s="2">
        <v>30.8</v>
      </c>
      <c r="AE39" s="2">
        <v>33.799999999999997</v>
      </c>
      <c r="AF39" s="10" t="str">
        <f t="shared" si="2"/>
        <v>No</v>
      </c>
      <c r="AG39" s="8" t="str">
        <f t="shared" si="3"/>
        <v>No</v>
      </c>
      <c r="AH39" s="2">
        <v>246</v>
      </c>
      <c r="AI39" s="2">
        <v>3.5</v>
      </c>
      <c r="AJ39" s="2">
        <v>2.15</v>
      </c>
      <c r="AK39" s="10" t="str">
        <f t="shared" si="4"/>
        <v>Yes</v>
      </c>
      <c r="AL39" s="8" t="str">
        <f t="shared" si="5"/>
        <v>No</v>
      </c>
      <c r="AM39" s="2">
        <v>61.3</v>
      </c>
      <c r="AN39" s="8" t="str">
        <f t="shared" si="6"/>
        <v>No</v>
      </c>
      <c r="AO39" s="10" t="str">
        <f t="shared" si="7"/>
        <v>No</v>
      </c>
      <c r="AP39" s="2">
        <v>0.02</v>
      </c>
      <c r="AQ39" s="2">
        <v>0.6</v>
      </c>
      <c r="AR39" s="2">
        <v>0.02</v>
      </c>
      <c r="AS39" s="2">
        <v>0.6</v>
      </c>
      <c r="AT39" s="2">
        <v>1</v>
      </c>
      <c r="AU39" s="2">
        <v>28.6</v>
      </c>
      <c r="AV39" s="10" t="str">
        <f t="shared" si="8"/>
        <v>No</v>
      </c>
      <c r="AW39" s="8" t="str">
        <f t="shared" si="9"/>
        <v>No</v>
      </c>
      <c r="AX39" s="2">
        <v>0.31</v>
      </c>
      <c r="AY39" s="2">
        <v>8.9</v>
      </c>
      <c r="AZ39" s="10" t="str">
        <f t="shared" si="10"/>
        <v>No</v>
      </c>
      <c r="BA39" s="8" t="str">
        <f t="shared" si="11"/>
        <v>No</v>
      </c>
      <c r="BB39" s="2">
        <f t="shared" si="0"/>
        <v>2.15</v>
      </c>
      <c r="BC39" s="2">
        <f t="shared" si="12"/>
        <v>0.31</v>
      </c>
      <c r="BD39" s="2">
        <f t="shared" si="13"/>
        <v>246</v>
      </c>
    </row>
    <row r="40" spans="1:56" x14ac:dyDescent="0.2">
      <c r="A40" s="2" t="s">
        <v>241</v>
      </c>
      <c r="B40" s="2">
        <v>56</v>
      </c>
      <c r="C40" s="2">
        <v>28.41</v>
      </c>
      <c r="D40" s="2">
        <v>14</v>
      </c>
      <c r="E40" s="2">
        <v>15</v>
      </c>
      <c r="F40" s="2">
        <v>6</v>
      </c>
      <c r="G40" s="2" t="s">
        <v>63</v>
      </c>
      <c r="H40" s="2">
        <v>8</v>
      </c>
      <c r="I40" s="2" t="s">
        <v>59</v>
      </c>
      <c r="J40" s="2" t="s">
        <v>131</v>
      </c>
      <c r="K40" s="2" t="s">
        <v>130</v>
      </c>
      <c r="L40" s="2" t="s">
        <v>45</v>
      </c>
      <c r="M40" s="2" t="s">
        <v>47</v>
      </c>
      <c r="N40" s="2" t="s">
        <v>52</v>
      </c>
      <c r="O40" s="2" t="s">
        <v>130</v>
      </c>
      <c r="P40" s="2" t="s">
        <v>130</v>
      </c>
      <c r="Q40" s="2" t="s">
        <v>130</v>
      </c>
      <c r="R40" s="2" t="s">
        <v>130</v>
      </c>
      <c r="S40" s="2" t="s">
        <v>130</v>
      </c>
      <c r="T40" s="2" t="s">
        <v>131</v>
      </c>
      <c r="U40" s="2" t="s">
        <v>130</v>
      </c>
      <c r="V40" s="2" t="s">
        <v>130</v>
      </c>
      <c r="W40" s="2">
        <v>7.4</v>
      </c>
      <c r="X40" s="8" t="str">
        <f t="shared" si="1"/>
        <v>Yes</v>
      </c>
      <c r="Y40" s="2">
        <v>4.5</v>
      </c>
      <c r="Z40" s="2">
        <v>12.9</v>
      </c>
      <c r="AA40" s="8" t="str">
        <f t="shared" si="20"/>
        <v>No</v>
      </c>
      <c r="AB40" s="2">
        <v>37.1</v>
      </c>
      <c r="AC40" s="2">
        <v>82.4</v>
      </c>
      <c r="AD40" s="2">
        <v>28.7</v>
      </c>
      <c r="AE40" s="2">
        <v>34.799999999999997</v>
      </c>
      <c r="AF40" s="10" t="str">
        <f t="shared" si="2"/>
        <v>No</v>
      </c>
      <c r="AG40" s="8" t="str">
        <f t="shared" si="3"/>
        <v>No</v>
      </c>
      <c r="AH40" s="2">
        <v>363</v>
      </c>
      <c r="AI40" s="2">
        <v>4.92</v>
      </c>
      <c r="AJ40" s="2">
        <v>1.48</v>
      </c>
      <c r="AK40" s="10" t="str">
        <f t="shared" si="4"/>
        <v>No</v>
      </c>
      <c r="AL40" s="8" t="str">
        <f t="shared" si="5"/>
        <v>No</v>
      </c>
      <c r="AM40" s="2">
        <v>30.1</v>
      </c>
      <c r="AN40" s="8" t="str">
        <f t="shared" si="6"/>
        <v>No</v>
      </c>
      <c r="AO40" s="10" t="str">
        <f t="shared" si="7"/>
        <v>Yes</v>
      </c>
      <c r="AP40" s="2">
        <v>0.32</v>
      </c>
      <c r="AQ40" s="2">
        <v>6.5</v>
      </c>
      <c r="AR40" s="2">
        <v>0.06</v>
      </c>
      <c r="AS40" s="2">
        <v>1.2</v>
      </c>
      <c r="AT40" s="2">
        <v>2.73</v>
      </c>
      <c r="AU40" s="2">
        <v>55.5</v>
      </c>
      <c r="AV40" s="10" t="str">
        <f t="shared" si="8"/>
        <v>No</v>
      </c>
      <c r="AW40" s="8" t="str">
        <f t="shared" si="9"/>
        <v>No</v>
      </c>
      <c r="AX40" s="2">
        <v>0.33</v>
      </c>
      <c r="AY40" s="2">
        <v>6.7</v>
      </c>
      <c r="AZ40" s="10" t="str">
        <f t="shared" si="10"/>
        <v>No</v>
      </c>
      <c r="BA40" s="8" t="str">
        <f t="shared" si="11"/>
        <v>No</v>
      </c>
      <c r="BB40" s="2">
        <f t="shared" si="0"/>
        <v>0.54212454212454209</v>
      </c>
      <c r="BC40" s="2">
        <f t="shared" si="12"/>
        <v>0.12087912087912088</v>
      </c>
      <c r="BD40" s="2">
        <f t="shared" si="13"/>
        <v>132.96703296703296</v>
      </c>
    </row>
    <row r="41" spans="1:56" x14ac:dyDescent="0.2">
      <c r="A41" s="2" t="s">
        <v>242</v>
      </c>
      <c r="B41" s="2">
        <v>52</v>
      </c>
      <c r="C41" s="2">
        <v>34.53</v>
      </c>
      <c r="D41" s="2">
        <v>14</v>
      </c>
      <c r="E41" s="2">
        <v>35</v>
      </c>
      <c r="F41" s="2">
        <v>0</v>
      </c>
      <c r="G41" s="2" t="s">
        <v>64</v>
      </c>
      <c r="H41" s="2">
        <v>4</v>
      </c>
      <c r="I41" s="2" t="s">
        <v>59</v>
      </c>
      <c r="J41" s="2" t="s">
        <v>131</v>
      </c>
      <c r="K41" s="2" t="s">
        <v>130</v>
      </c>
      <c r="L41" s="4" t="s">
        <v>75</v>
      </c>
      <c r="M41" s="4" t="s">
        <v>49</v>
      </c>
      <c r="N41" s="4" t="s">
        <v>80</v>
      </c>
      <c r="O41" s="2" t="s">
        <v>131</v>
      </c>
      <c r="P41" s="2" t="s">
        <v>131</v>
      </c>
      <c r="Q41" s="2" t="s">
        <v>130</v>
      </c>
      <c r="R41" s="2" t="s">
        <v>130</v>
      </c>
      <c r="S41" s="2" t="s">
        <v>130</v>
      </c>
      <c r="T41" s="2" t="s">
        <v>131</v>
      </c>
      <c r="U41" s="2" t="s">
        <v>130</v>
      </c>
      <c r="V41" s="2" t="s">
        <v>130</v>
      </c>
      <c r="W41" s="2">
        <v>3.6</v>
      </c>
      <c r="X41" s="8" t="str">
        <f t="shared" si="1"/>
        <v>No</v>
      </c>
      <c r="Y41" s="2">
        <v>4.4800000000000004</v>
      </c>
      <c r="Z41" s="2">
        <v>12.8</v>
      </c>
      <c r="AA41" s="8" t="str">
        <f t="shared" si="20"/>
        <v>No</v>
      </c>
      <c r="AB41" s="2">
        <v>40.4</v>
      </c>
      <c r="AC41" s="2">
        <v>90.2</v>
      </c>
      <c r="AD41" s="2">
        <v>28.6</v>
      </c>
      <c r="AE41" s="2">
        <v>31.7</v>
      </c>
      <c r="AF41" s="10" t="str">
        <f t="shared" si="2"/>
        <v>No</v>
      </c>
      <c r="AG41" s="8" t="str">
        <f t="shared" si="3"/>
        <v>No</v>
      </c>
      <c r="AH41" s="2">
        <v>333</v>
      </c>
      <c r="AI41" s="2">
        <v>4.0999999999999996</v>
      </c>
      <c r="AJ41" s="2">
        <v>1.79</v>
      </c>
      <c r="AK41" s="10" t="str">
        <f t="shared" si="4"/>
        <v>No</v>
      </c>
      <c r="AL41" s="8" t="str">
        <f t="shared" si="5"/>
        <v>No</v>
      </c>
      <c r="AM41" s="2">
        <v>43.7</v>
      </c>
      <c r="AN41" s="8" t="str">
        <f t="shared" si="6"/>
        <v>No</v>
      </c>
      <c r="AO41" s="10" t="str">
        <f t="shared" si="7"/>
        <v>Yes</v>
      </c>
      <c r="AP41" s="2">
        <v>0.21</v>
      </c>
      <c r="AQ41" s="2">
        <v>5.0999999999999996</v>
      </c>
      <c r="AR41" s="2">
        <v>0.02</v>
      </c>
      <c r="AS41" s="2">
        <v>0.5</v>
      </c>
      <c r="AT41" s="2">
        <v>1.55</v>
      </c>
      <c r="AU41" s="2">
        <v>37.799999999999997</v>
      </c>
      <c r="AV41" s="10" t="str">
        <f t="shared" si="8"/>
        <v>No</v>
      </c>
      <c r="AW41" s="8" t="str">
        <f t="shared" si="9"/>
        <v>No</v>
      </c>
      <c r="AX41" s="2">
        <v>0.53</v>
      </c>
      <c r="AY41" s="2">
        <v>12.9</v>
      </c>
      <c r="AZ41" s="10" t="str">
        <f t="shared" si="10"/>
        <v>No</v>
      </c>
      <c r="BA41" s="8" t="str">
        <f t="shared" si="11"/>
        <v>No</v>
      </c>
      <c r="BB41" s="2">
        <f t="shared" si="0"/>
        <v>1.1548387096774193</v>
      </c>
      <c r="BC41" s="2">
        <f t="shared" si="12"/>
        <v>0.34193548387096773</v>
      </c>
      <c r="BD41" s="2">
        <f t="shared" si="13"/>
        <v>214.83870967741936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TNBC</vt:lpstr>
      <vt:lpstr>HDBC</vt:lpstr>
      <vt:lpstr>Healthy 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NENE OUMOU KESSO BARRY</dc:creator>
  <cp:lastModifiedBy>NENE OUMOU KESSO BARRY</cp:lastModifiedBy>
  <dcterms:created xsi:type="dcterms:W3CDTF">2025-08-15T10:53:34Z</dcterms:created>
  <dcterms:modified xsi:type="dcterms:W3CDTF">2025-11-19T14:07:23Z</dcterms:modified>
</cp:coreProperties>
</file>